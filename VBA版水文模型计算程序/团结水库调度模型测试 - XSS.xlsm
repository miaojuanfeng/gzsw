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API" sheetId="2" r:id="rId1"/>
    <sheet name="Sheet1" sheetId="4" r:id="rId2"/>
    <sheet name="Sheet2" sheetId="5" r:id="rId3"/>
  </sheets>
  <functionGroups/>
  <calcPr calcId="124519"/>
</workbook>
</file>

<file path=xl/calcChain.xml><?xml version="1.0" encoding="utf-8"?>
<calcChain xmlns="http://schemas.openxmlformats.org/spreadsheetml/2006/main">
  <c r="J8" i="5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7"/>
  <c r="I4" i="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I148"/>
  <c r="J148"/>
  <c r="K148"/>
  <c r="J3"/>
  <c r="K3"/>
  <c r="I3"/>
  <c r="I7" i="5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6"/>
  <c r="G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4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3"/>
</calcChain>
</file>

<file path=xl/sharedStrings.xml><?xml version="1.0" encoding="utf-8"?>
<sst xmlns="http://schemas.openxmlformats.org/spreadsheetml/2006/main" count="36" uniqueCount="28">
  <si>
    <t>模型参数</t>
  </si>
  <si>
    <t>参数值</t>
  </si>
  <si>
    <t>时间</t>
  </si>
  <si>
    <t>降雨</t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</si>
  <si>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</si>
  <si>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</si>
  <si>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K</t>
    <phoneticPr fontId="1" type="noConversion"/>
  </si>
  <si>
    <t>Kr</t>
    <phoneticPr fontId="1" type="noConversion"/>
  </si>
  <si>
    <t>Im</t>
    <phoneticPr fontId="1" type="noConversion"/>
  </si>
  <si>
    <t>Imm</t>
    <phoneticPr fontId="1" type="noConversion"/>
  </si>
  <si>
    <t>Na</t>
    <phoneticPr fontId="1" type="noConversion"/>
  </si>
  <si>
    <t>Nu</t>
    <phoneticPr fontId="1" type="noConversion"/>
  </si>
  <si>
    <t>Kg</t>
    <phoneticPr fontId="1" type="noConversion"/>
  </si>
  <si>
    <t>Area</t>
    <phoneticPr fontId="1" type="noConversion"/>
  </si>
  <si>
    <t>Ku</t>
    <phoneticPr fontId="1" type="noConversion"/>
  </si>
  <si>
    <t>INTV</t>
    <phoneticPr fontId="1" type="noConversion"/>
  </si>
  <si>
    <t>Pa</t>
    <phoneticPr fontId="1" type="noConversion"/>
  </si>
  <si>
    <t>R</t>
    <phoneticPr fontId="1" type="noConversion"/>
  </si>
  <si>
    <t>KE</t>
    <phoneticPr fontId="1" type="noConversion"/>
  </si>
  <si>
    <t>XE</t>
    <phoneticPr fontId="1" type="noConversion"/>
  </si>
  <si>
    <t>Qu</t>
    <phoneticPr fontId="1" type="noConversion"/>
  </si>
  <si>
    <t>Qu转换</t>
    <phoneticPr fontId="1" type="noConversion"/>
  </si>
  <si>
    <t>面雨量</t>
  </si>
  <si>
    <t>净雨量</t>
  </si>
  <si>
    <t>流量</t>
  </si>
  <si>
    <t>QO</t>
    <phoneticPr fontId="1" type="noConversion"/>
  </si>
  <si>
    <t>Z</t>
    <phoneticPr fontId="1" type="noConversion"/>
  </si>
  <si>
    <t>W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</si>
</sst>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</numFmts>
  <fonts count="10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Tahoma"/>
      <family val="2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EEEE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22" fontId="8" fillId="6" borderId="4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8" fillId="8" borderId="4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  <xf numFmtId="179" fontId="0" fillId="0" borderId="5" xfId="0" applyNumberFormat="1" applyBorder="1" applyAlignment="1">
      <alignment horizontal="center" vertical="center"/>
    </xf>
    <xf numFmtId="179" fontId="0" fillId="0" borderId="5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3" fillId="2" borderId="2" xfId="0" applyNumberFormat="1" applyFont="1" applyFill="1" applyBorder="1" applyAlignment="1">
      <alignment horizontal="center" vertical="center" wrapText="1"/>
    </xf>
    <xf numFmtId="179" fontId="3" fillId="2" borderId="3" xfId="0" applyNumberFormat="1" applyFont="1" applyFill="1" applyBorder="1" applyAlignment="1">
      <alignment horizontal="center" vertical="center" wrapText="1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5.2737880207864046E-2"/>
          <c:y val="3.8097125515069039E-2"/>
          <c:w val="0.86791633701289761"/>
          <c:h val="0.86954807306153636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API!$D$3:$D$9094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API!$G$6:$G$9094</c:f>
              <c:numCache>
                <c:formatCode>0.0000_ </c:formatCode>
                <c:ptCount val="9089"/>
                <c:pt idx="0">
                  <c:v>28.88776</c:v>
                </c:pt>
                <c:pt idx="1">
                  <c:v>72.147490000000005</c:v>
                </c:pt>
                <c:pt idx="2">
                  <c:v>158.262</c:v>
                </c:pt>
                <c:pt idx="3">
                  <c:v>305.50380000000001</c:v>
                </c:pt>
                <c:pt idx="4">
                  <c:v>519.19330000000002</c:v>
                </c:pt>
                <c:pt idx="5">
                  <c:v>783.79610000000002</c:v>
                </c:pt>
                <c:pt idx="6">
                  <c:v>1072.6590000000001</c:v>
                </c:pt>
                <c:pt idx="7">
                  <c:v>1350.3420000000001</c:v>
                </c:pt>
                <c:pt idx="8">
                  <c:v>1581.7</c:v>
                </c:pt>
                <c:pt idx="9">
                  <c:v>1740.7049999999999</c:v>
                </c:pt>
                <c:pt idx="10">
                  <c:v>1818.3579999999999</c:v>
                </c:pt>
                <c:pt idx="11">
                  <c:v>1819.133</c:v>
                </c:pt>
                <c:pt idx="12">
                  <c:v>1755.694</c:v>
                </c:pt>
                <c:pt idx="13">
                  <c:v>1644.2760000000001</c:v>
                </c:pt>
                <c:pt idx="14">
                  <c:v>1501.4059999999999</c:v>
                </c:pt>
                <c:pt idx="15">
                  <c:v>1341.8130000000001</c:v>
                </c:pt>
                <c:pt idx="16">
                  <c:v>1177.4259999999999</c:v>
                </c:pt>
                <c:pt idx="17">
                  <c:v>1017.127</c:v>
                </c:pt>
                <c:pt idx="18">
                  <c:v>866.95669999999996</c:v>
                </c:pt>
                <c:pt idx="19">
                  <c:v>730.55930000000001</c:v>
                </c:pt>
                <c:pt idx="20">
                  <c:v>609.69899999999996</c:v>
                </c:pt>
                <c:pt idx="21">
                  <c:v>504.7604</c:v>
                </c:pt>
                <c:pt idx="22">
                  <c:v>415.18540000000002</c:v>
                </c:pt>
                <c:pt idx="23">
                  <c:v>339.82589999999999</c:v>
                </c:pt>
                <c:pt idx="24">
                  <c:v>277.21429999999998</c:v>
                </c:pt>
                <c:pt idx="25">
                  <c:v>225.75739999999999</c:v>
                </c:pt>
                <c:pt idx="26">
                  <c:v>183.8698</c:v>
                </c:pt>
                <c:pt idx="27">
                  <c:v>150.05779999999999</c:v>
                </c:pt>
                <c:pt idx="28">
                  <c:v>122.9665</c:v>
                </c:pt>
                <c:pt idx="29">
                  <c:v>101.6936</c:v>
                </c:pt>
                <c:pt idx="30">
                  <c:v>85.496139999999997</c:v>
                </c:pt>
                <c:pt idx="31">
                  <c:v>73.607439999999997</c:v>
                </c:pt>
                <c:pt idx="32">
                  <c:v>65.08081</c:v>
                </c:pt>
                <c:pt idx="33">
                  <c:v>59.082239999999999</c:v>
                </c:pt>
                <c:pt idx="34">
                  <c:v>54.953339999999997</c:v>
                </c:pt>
                <c:pt idx="35">
                  <c:v>52.121519999999997</c:v>
                </c:pt>
                <c:pt idx="36">
                  <c:v>50.150750000000002</c:v>
                </c:pt>
                <c:pt idx="37">
                  <c:v>49.040579999999999</c:v>
                </c:pt>
                <c:pt idx="38">
                  <c:v>49.181069999999998</c:v>
                </c:pt>
                <c:pt idx="39">
                  <c:v>50.880459999999999</c:v>
                </c:pt>
                <c:pt idx="40">
                  <c:v>54.082999999999998</c:v>
                </c:pt>
                <c:pt idx="41">
                  <c:v>58.539630000000002</c:v>
                </c:pt>
                <c:pt idx="42">
                  <c:v>63.751649999999998</c:v>
                </c:pt>
                <c:pt idx="43">
                  <c:v>68.888570000000001</c:v>
                </c:pt>
                <c:pt idx="44">
                  <c:v>73.057789999999997</c:v>
                </c:pt>
                <c:pt idx="45">
                  <c:v>75.680610000000001</c:v>
                </c:pt>
                <c:pt idx="46">
                  <c:v>76.713459999999998</c:v>
                </c:pt>
                <c:pt idx="47">
                  <c:v>76.608999999999995</c:v>
                </c:pt>
                <c:pt idx="48">
                  <c:v>75.836799999999997</c:v>
                </c:pt>
                <c:pt idx="49">
                  <c:v>74.910030000000006</c:v>
                </c:pt>
                <c:pt idx="50">
                  <c:v>73.796049999999994</c:v>
                </c:pt>
                <c:pt idx="51">
                  <c:v>71.597890000000007</c:v>
                </c:pt>
                <c:pt idx="52">
                  <c:v>66.587280000000007</c:v>
                </c:pt>
                <c:pt idx="53">
                  <c:v>62.903210000000001</c:v>
                </c:pt>
                <c:pt idx="54">
                  <c:v>60.332369999999997</c:v>
                </c:pt>
                <c:pt idx="55">
                  <c:v>58.904539999999997</c:v>
                </c:pt>
                <c:pt idx="56">
                  <c:v>58.32403</c:v>
                </c:pt>
                <c:pt idx="57">
                  <c:v>59.787489999999998</c:v>
                </c:pt>
                <c:pt idx="58">
                  <c:v>61.057009999999998</c:v>
                </c:pt>
                <c:pt idx="59">
                  <c:v>62.136220000000002</c:v>
                </c:pt>
                <c:pt idx="60">
                  <c:v>62.99879</c:v>
                </c:pt>
                <c:pt idx="61">
                  <c:v>63.43242</c:v>
                </c:pt>
                <c:pt idx="62">
                  <c:v>63.13458</c:v>
                </c:pt>
                <c:pt idx="63">
                  <c:v>61.986789999999999</c:v>
                </c:pt>
                <c:pt idx="64">
                  <c:v>60.147660000000002</c:v>
                </c:pt>
                <c:pt idx="65">
                  <c:v>58.00902</c:v>
                </c:pt>
                <c:pt idx="66">
                  <c:v>55.920009999999998</c:v>
                </c:pt>
                <c:pt idx="67">
                  <c:v>53.948869999999999</c:v>
                </c:pt>
                <c:pt idx="68">
                  <c:v>51.888939999999998</c:v>
                </c:pt>
                <c:pt idx="69">
                  <c:v>49.476480000000002</c:v>
                </c:pt>
                <c:pt idx="70">
                  <c:v>46.56176</c:v>
                </c:pt>
                <c:pt idx="71">
                  <c:v>43.151890000000002</c:v>
                </c:pt>
                <c:pt idx="72">
                  <c:v>39.363259999999997</c:v>
                </c:pt>
                <c:pt idx="73">
                  <c:v>35.363720000000001</c:v>
                </c:pt>
                <c:pt idx="74">
                  <c:v>31.327290000000001</c:v>
                </c:pt>
                <c:pt idx="75">
                  <c:v>27.406089999999999</c:v>
                </c:pt>
                <c:pt idx="76">
                  <c:v>23.71705</c:v>
                </c:pt>
                <c:pt idx="77">
                  <c:v>20.338999999999999</c:v>
                </c:pt>
                <c:pt idx="78">
                  <c:v>17.33024</c:v>
                </c:pt>
                <c:pt idx="79">
                  <c:v>14.654920000000001</c:v>
                </c:pt>
                <c:pt idx="80">
                  <c:v>12.45086</c:v>
                </c:pt>
                <c:pt idx="81">
                  <c:v>10.62529</c:v>
                </c:pt>
                <c:pt idx="82">
                  <c:v>9.1043749999999992</c:v>
                </c:pt>
                <c:pt idx="83">
                  <c:v>7.837269</c:v>
                </c:pt>
                <c:pt idx="84">
                  <c:v>6.7758979999999998</c:v>
                </c:pt>
                <c:pt idx="85">
                  <c:v>5.8979359999999996</c:v>
                </c:pt>
                <c:pt idx="86">
                  <c:v>5.1441410000000003</c:v>
                </c:pt>
                <c:pt idx="87">
                  <c:v>4.4308329999999998</c:v>
                </c:pt>
                <c:pt idx="88">
                  <c:v>3.8095560000000002</c:v>
                </c:pt>
                <c:pt idx="89">
                  <c:v>3.3118189999999998</c:v>
                </c:pt>
                <c:pt idx="90">
                  <c:v>2.8670719999999998</c:v>
                </c:pt>
                <c:pt idx="91">
                  <c:v>2.4646400000000002</c:v>
                </c:pt>
                <c:pt idx="92">
                  <c:v>2.1874579999999999</c:v>
                </c:pt>
                <c:pt idx="93">
                  <c:v>1.9841279999999999</c:v>
                </c:pt>
                <c:pt idx="94">
                  <c:v>1.7980510000000001</c:v>
                </c:pt>
                <c:pt idx="95">
                  <c:v>1.6572960000000001</c:v>
                </c:pt>
                <c:pt idx="96">
                  <c:v>1.507169</c:v>
                </c:pt>
                <c:pt idx="97">
                  <c:v>1.3393619999999999</c:v>
                </c:pt>
                <c:pt idx="98">
                  <c:v>1.157829</c:v>
                </c:pt>
                <c:pt idx="99">
                  <c:v>1.078624</c:v>
                </c:pt>
                <c:pt idx="100">
                  <c:v>1.010205</c:v>
                </c:pt>
                <c:pt idx="101">
                  <c:v>0.94284069999999998</c:v>
                </c:pt>
                <c:pt idx="102">
                  <c:v>0.82123199999999996</c:v>
                </c:pt>
                <c:pt idx="103">
                  <c:v>0.70572789999999996</c:v>
                </c:pt>
                <c:pt idx="104">
                  <c:v>0.62883849999999997</c:v>
                </c:pt>
                <c:pt idx="105">
                  <c:v>0.60676589999999997</c:v>
                </c:pt>
                <c:pt idx="106">
                  <c:v>0.67094810000000005</c:v>
                </c:pt>
                <c:pt idx="107">
                  <c:v>0.79070960000000001</c:v>
                </c:pt>
                <c:pt idx="108">
                  <c:v>0.91698539999999995</c:v>
                </c:pt>
                <c:pt idx="109">
                  <c:v>1.0768800000000001</c:v>
                </c:pt>
                <c:pt idx="110">
                  <c:v>1.242661</c:v>
                </c:pt>
                <c:pt idx="111">
                  <c:v>1.3739969999999999</c:v>
                </c:pt>
                <c:pt idx="112">
                  <c:v>1.452583</c:v>
                </c:pt>
                <c:pt idx="113">
                  <c:v>1.4581500000000001</c:v>
                </c:pt>
                <c:pt idx="114">
                  <c:v>1.3868419999999999</c:v>
                </c:pt>
                <c:pt idx="115">
                  <c:v>1.265941</c:v>
                </c:pt>
                <c:pt idx="116">
                  <c:v>1.1389990000000001</c:v>
                </c:pt>
                <c:pt idx="117">
                  <c:v>1.017692</c:v>
                </c:pt>
                <c:pt idx="118">
                  <c:v>0.90039429999999998</c:v>
                </c:pt>
                <c:pt idx="119">
                  <c:v>0.79776239999999998</c:v>
                </c:pt>
                <c:pt idx="120">
                  <c:v>0.74019020000000002</c:v>
                </c:pt>
                <c:pt idx="121">
                  <c:v>0.74131389999999997</c:v>
                </c:pt>
                <c:pt idx="122">
                  <c:v>0.7853407</c:v>
                </c:pt>
                <c:pt idx="123">
                  <c:v>0.84081969999999995</c:v>
                </c:pt>
                <c:pt idx="124">
                  <c:v>0.88397700000000001</c:v>
                </c:pt>
                <c:pt idx="125">
                  <c:v>0.90218810000000005</c:v>
                </c:pt>
                <c:pt idx="126">
                  <c:v>0.89207420000000004</c:v>
                </c:pt>
                <c:pt idx="127">
                  <c:v>0.85626199999999997</c:v>
                </c:pt>
                <c:pt idx="128">
                  <c:v>0.81111789999999995</c:v>
                </c:pt>
                <c:pt idx="129">
                  <c:v>0.7776805</c:v>
                </c:pt>
                <c:pt idx="130">
                  <c:v>0.76565300000000003</c:v>
                </c:pt>
                <c:pt idx="131">
                  <c:v>0.75920339999999997</c:v>
                </c:pt>
                <c:pt idx="132">
                  <c:v>0.76191059999999999</c:v>
                </c:pt>
                <c:pt idx="133">
                  <c:v>0.79275510000000005</c:v>
                </c:pt>
                <c:pt idx="134">
                  <c:v>0.87490820000000002</c:v>
                </c:pt>
                <c:pt idx="135">
                  <c:v>1.002904</c:v>
                </c:pt>
                <c:pt idx="136">
                  <c:v>1.1474359999999999</c:v>
                </c:pt>
                <c:pt idx="137">
                  <c:v>1.2712209999999999</c:v>
                </c:pt>
                <c:pt idx="138">
                  <c:v>1.3652740000000001</c:v>
                </c:pt>
                <c:pt idx="139">
                  <c:v>1.4317470000000001</c:v>
                </c:pt>
                <c:pt idx="140">
                  <c:v>1.472882</c:v>
                </c:pt>
                <c:pt idx="141">
                  <c:v>1.4947600000000001</c:v>
                </c:pt>
                <c:pt idx="142">
                  <c:v>1.5045539999999999</c:v>
                </c:pt>
              </c:numCache>
            </c:numRef>
          </c:yVal>
          <c:smooth val="1"/>
        </c:ser>
        <c:ser>
          <c:idx val="1"/>
          <c:order val="1"/>
          <c:tx>
            <c:v>出库流量</c:v>
          </c:tx>
          <c:marker>
            <c:symbol val="none"/>
          </c:marker>
          <c:xVal>
            <c:numRef>
              <c:f>API!$D$3:$D$147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API!$J$3:$J$149</c:f>
              <c:numCache>
                <c:formatCode>0.0000_ </c:formatCode>
                <c:ptCount val="14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292.05667114257812</c:v>
                </c:pt>
                <c:pt idx="10">
                  <c:v>467</c:v>
                </c:pt>
                <c:pt idx="11">
                  <c:v>486.75729370117187</c:v>
                </c:pt>
                <c:pt idx="12">
                  <c:v>509.97341918945312</c:v>
                </c:pt>
                <c:pt idx="13">
                  <c:v>543.8746337890625</c:v>
                </c:pt>
                <c:pt idx="14">
                  <c:v>593.6005859375</c:v>
                </c:pt>
                <c:pt idx="15">
                  <c:v>640.18243408203125</c:v>
                </c:pt>
                <c:pt idx="16">
                  <c:v>683.73052978515625</c:v>
                </c:pt>
                <c:pt idx="17">
                  <c:v>721.3299560546875</c:v>
                </c:pt>
                <c:pt idx="18">
                  <c:v>750.94091796875</c:v>
                </c:pt>
                <c:pt idx="19">
                  <c:v>772.44287109375</c:v>
                </c:pt>
                <c:pt idx="20">
                  <c:v>786.19091796875</c:v>
                </c:pt>
                <c:pt idx="21">
                  <c:v>792.7701416015625</c:v>
                </c:pt>
                <c:pt idx="22">
                  <c:v>793.00469970703125</c:v>
                </c:pt>
                <c:pt idx="23">
                  <c:v>787.83465576171875</c:v>
                </c:pt>
                <c:pt idx="24">
                  <c:v>778.08197021484375</c:v>
                </c:pt>
                <c:pt idx="25">
                  <c:v>764.57061767578125</c:v>
                </c:pt>
                <c:pt idx="26">
                  <c:v>748.23651123046875</c:v>
                </c:pt>
                <c:pt idx="27">
                  <c:v>729.6734619140625</c:v>
                </c:pt>
                <c:pt idx="28">
                  <c:v>709.46234130859375</c:v>
                </c:pt>
                <c:pt idx="29">
                  <c:v>688.0765380859375</c:v>
                </c:pt>
                <c:pt idx="30">
                  <c:v>665.9871826171875</c:v>
                </c:pt>
                <c:pt idx="31">
                  <c:v>644.5167236328125</c:v>
                </c:pt>
                <c:pt idx="32">
                  <c:v>623.7161865234375</c:v>
                </c:pt>
                <c:pt idx="33">
                  <c:v>603.02484130859375</c:v>
                </c:pt>
                <c:pt idx="34">
                  <c:v>582.6588134765625</c:v>
                </c:pt>
                <c:pt idx="35">
                  <c:v>562.6160888671875</c:v>
                </c:pt>
                <c:pt idx="36">
                  <c:v>543.1168212890625</c:v>
                </c:pt>
                <c:pt idx="37">
                  <c:v>525.06732177734375</c:v>
                </c:pt>
                <c:pt idx="38">
                  <c:v>515.7369384765625</c:v>
                </c:pt>
                <c:pt idx="39">
                  <c:v>506.57040405273437</c:v>
                </c:pt>
                <c:pt idx="40">
                  <c:v>497.5155029296875</c:v>
                </c:pt>
                <c:pt idx="41">
                  <c:v>488.678466796875</c:v>
                </c:pt>
                <c:pt idx="42">
                  <c:v>480.007080078125</c:v>
                </c:pt>
                <c:pt idx="43">
                  <c:v>286.86737060546875</c:v>
                </c:pt>
                <c:pt idx="44">
                  <c:v>61.145641326904297</c:v>
                </c:pt>
                <c:pt idx="45">
                  <c:v>66.320114135742188</c:v>
                </c:pt>
                <c:pt idx="46">
                  <c:v>70.973175048828125</c:v>
                </c:pt>
                <c:pt idx="47">
                  <c:v>74.36920166015625</c:v>
                </c:pt>
                <c:pt idx="48">
                  <c:v>76.197029113769531</c:v>
                </c:pt>
                <c:pt idx="49">
                  <c:v>76.661231994628906</c:v>
                </c:pt>
                <c:pt idx="50">
                  <c:v>76.222900390625</c:v>
                </c:pt>
                <c:pt idx="51">
                  <c:v>75.3734130859375</c:v>
                </c:pt>
                <c:pt idx="52">
                  <c:v>74.353034973144531</c:v>
                </c:pt>
                <c:pt idx="53">
                  <c:v>72.696968078613281</c:v>
                </c:pt>
                <c:pt idx="54">
                  <c:v>69.092582702636719</c:v>
                </c:pt>
                <c:pt idx="55">
                  <c:v>64.745246887207031</c:v>
                </c:pt>
                <c:pt idx="56">
                  <c:v>61.617786407470703</c:v>
                </c:pt>
                <c:pt idx="57">
                  <c:v>59.618453979492188</c:v>
                </c:pt>
                <c:pt idx="58">
                  <c:v>58.614284515380859</c:v>
                </c:pt>
                <c:pt idx="59">
                  <c:v>59.055759429931641</c:v>
                </c:pt>
                <c:pt idx="60">
                  <c:v>60.422248840332031</c:v>
                </c:pt>
                <c:pt idx="61">
                  <c:v>61.596614837646484</c:v>
                </c:pt>
                <c:pt idx="62">
                  <c:v>62.567508697509766</c:v>
                </c:pt>
                <c:pt idx="63">
                  <c:v>63.215606689453125</c:v>
                </c:pt>
                <c:pt idx="64">
                  <c:v>63.283500671386719</c:v>
                </c:pt>
                <c:pt idx="65">
                  <c:v>62.560684204101563</c:v>
                </c:pt>
                <c:pt idx="66">
                  <c:v>61.067226409912109</c:v>
                </c:pt>
                <c:pt idx="67">
                  <c:v>59.078342437744141</c:v>
                </c:pt>
                <c:pt idx="68">
                  <c:v>56.964515686035156</c:v>
                </c:pt>
                <c:pt idx="69">
                  <c:v>54.934440612792969</c:v>
                </c:pt>
                <c:pt idx="70">
                  <c:v>52.918907165527344</c:v>
                </c:pt>
                <c:pt idx="71">
                  <c:v>50.682708740234375</c:v>
                </c:pt>
                <c:pt idx="72">
                  <c:v>48.019123077392578</c:v>
                </c:pt>
                <c:pt idx="73">
                  <c:v>44.856826782226563</c:v>
                </c:pt>
                <c:pt idx="74">
                  <c:v>41.257572174072266</c:v>
                </c:pt>
                <c:pt idx="75">
                  <c:v>37.363494873046875</c:v>
                </c:pt>
                <c:pt idx="76">
                  <c:v>33.345508575439453</c:v>
                </c:pt>
                <c:pt idx="77">
                  <c:v>29.366689682006836</c:v>
                </c:pt>
                <c:pt idx="78">
                  <c:v>25.56157112121582</c:v>
                </c:pt>
                <c:pt idx="79">
                  <c:v>22.028026580810547</c:v>
                </c:pt>
                <c:pt idx="80">
                  <c:v>18.834621429443359</c:v>
                </c:pt>
                <c:pt idx="81">
                  <c:v>15.992578506469727</c:v>
                </c:pt>
                <c:pt idx="82">
                  <c:v>13.552888870239258</c:v>
                </c:pt>
                <c:pt idx="83">
                  <c:v>11.538074493408203</c:v>
                </c:pt>
                <c:pt idx="84">
                  <c:v>9.8648309707641602</c:v>
                </c:pt>
                <c:pt idx="85">
                  <c:v>8.4708213806152344</c:v>
                </c:pt>
                <c:pt idx="86">
                  <c:v>7.3065838813781738</c:v>
                </c:pt>
                <c:pt idx="87">
                  <c:v>6.3369174003601074</c:v>
                </c:pt>
                <c:pt idx="88">
                  <c:v>5.5210385322570801</c:v>
                </c:pt>
                <c:pt idx="89">
                  <c:v>4.7874870300292969</c:v>
                </c:pt>
                <c:pt idx="90">
                  <c:v>4.1201939582824707</c:v>
                </c:pt>
                <c:pt idx="91">
                  <c:v>3.5606875419616699</c:v>
                </c:pt>
                <c:pt idx="92">
                  <c:v>3.0894458293914795</c:v>
                </c:pt>
                <c:pt idx="93">
                  <c:v>2.6658561229705811</c:v>
                </c:pt>
                <c:pt idx="94">
                  <c:v>2.3260486125946045</c:v>
                </c:pt>
                <c:pt idx="95">
                  <c:v>2.0857925415039062</c:v>
                </c:pt>
                <c:pt idx="96">
                  <c:v>1.8910893201828003</c:v>
                </c:pt>
                <c:pt idx="97">
                  <c:v>1.7276734113693237</c:v>
                </c:pt>
                <c:pt idx="98">
                  <c:v>1.5822322368621826</c:v>
                </c:pt>
                <c:pt idx="99">
                  <c:v>1.4232654571533203</c:v>
                </c:pt>
                <c:pt idx="100">
                  <c:v>1.2485957145690918</c:v>
                </c:pt>
                <c:pt idx="101">
                  <c:v>1.1182266473770142</c:v>
                </c:pt>
                <c:pt idx="102">
                  <c:v>1.044414758682251</c:v>
                </c:pt>
                <c:pt idx="103">
                  <c:v>0.97652304172515869</c:v>
                </c:pt>
                <c:pt idx="104">
                  <c:v>0.88203632831573486</c:v>
                </c:pt>
                <c:pt idx="105">
                  <c:v>0.76347994804382324</c:v>
                </c:pt>
                <c:pt idx="106">
                  <c:v>0.66728317737579346</c:v>
                </c:pt>
                <c:pt idx="107">
                  <c:v>0.61780214309692383</c:v>
                </c:pt>
                <c:pt idx="108">
                  <c:v>0.63885700702667236</c:v>
                </c:pt>
                <c:pt idx="109">
                  <c:v>0.73082888126373291</c:v>
                </c:pt>
                <c:pt idx="110">
                  <c:v>0.85384750366210938</c:v>
                </c:pt>
                <c:pt idx="111">
                  <c:v>0.99693262577056885</c:v>
                </c:pt>
                <c:pt idx="112">
                  <c:v>1.1597704887390137</c:v>
                </c:pt>
                <c:pt idx="113">
                  <c:v>1.3083289861679077</c:v>
                </c:pt>
                <c:pt idx="114">
                  <c:v>1.4132899045944214</c:v>
                </c:pt>
                <c:pt idx="115">
                  <c:v>1.4553662538528442</c:v>
                </c:pt>
                <c:pt idx="116">
                  <c:v>1.4224956035614014</c:v>
                </c:pt>
                <c:pt idx="117">
                  <c:v>1.3263914585113525</c:v>
                </c:pt>
                <c:pt idx="118">
                  <c:v>1.202470064163208</c:v>
                </c:pt>
                <c:pt idx="119">
                  <c:v>1.0783452987670898</c:v>
                </c:pt>
                <c:pt idx="120">
                  <c:v>0.95904302597045898</c:v>
                </c:pt>
                <c:pt idx="121">
                  <c:v>0.84907835721969604</c:v>
                </c:pt>
                <c:pt idx="122">
                  <c:v>0.76897633075714111</c:v>
                </c:pt>
                <c:pt idx="123">
                  <c:v>0.74075210094451904</c:v>
                </c:pt>
                <c:pt idx="124">
                  <c:v>0.76332736015319824</c:v>
                </c:pt>
                <c:pt idx="125">
                  <c:v>0.81308019161224365</c:v>
                </c:pt>
                <c:pt idx="126">
                  <c:v>0.86239832639694214</c:v>
                </c:pt>
                <c:pt idx="127">
                  <c:v>0.89308255910873413</c:v>
                </c:pt>
                <c:pt idx="128">
                  <c:v>0.89713114500045776</c:v>
                </c:pt>
                <c:pt idx="129">
                  <c:v>0.87416809797286987</c:v>
                </c:pt>
                <c:pt idx="130">
                  <c:v>0.83368998765945435</c:v>
                </c:pt>
                <c:pt idx="131">
                  <c:v>0.7943992018699646</c:v>
                </c:pt>
                <c:pt idx="132">
                  <c:v>0.7716667652130127</c:v>
                </c:pt>
                <c:pt idx="133">
                  <c:v>0.76242822408676147</c:v>
                </c:pt>
                <c:pt idx="134">
                  <c:v>0.76055693626403809</c:v>
                </c:pt>
                <c:pt idx="135">
                  <c:v>0.77733278274536133</c:v>
                </c:pt>
                <c:pt idx="136">
                  <c:v>0.83383160829544067</c:v>
                </c:pt>
                <c:pt idx="137">
                  <c:v>0.93890631198883057</c:v>
                </c:pt>
                <c:pt idx="138">
                  <c:v>1.0751702785491943</c:v>
                </c:pt>
                <c:pt idx="139">
                  <c:v>1.2093288898468018</c:v>
                </c:pt>
                <c:pt idx="140">
                  <c:v>1.3182477951049805</c:v>
                </c:pt>
                <c:pt idx="141">
                  <c:v>1.3985106945037842</c:v>
                </c:pt>
                <c:pt idx="142">
                  <c:v>1.4523142576217651</c:v>
                </c:pt>
                <c:pt idx="143">
                  <c:v>1.4838205575942993</c:v>
                </c:pt>
                <c:pt idx="144">
                  <c:v>1.4996567964553833</c:v>
                </c:pt>
                <c:pt idx="145">
                  <c:v>1.5045373439788818</c:v>
                </c:pt>
              </c:numCache>
            </c:numRef>
          </c:yVal>
          <c:smooth val="1"/>
        </c:ser>
        <c:ser>
          <c:idx val="3"/>
          <c:order val="3"/>
          <c:tx>
            <c:v>QT</c:v>
          </c:tx>
          <c:marker>
            <c:symbol val="none"/>
          </c:marker>
          <c:xVal>
            <c:numRef>
              <c:f>API!$D$3:$D$147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API!$H$3:$H$147</c:f>
              <c:numCache>
                <c:formatCode>0.0000_ </c:formatCode>
                <c:ptCount val="145"/>
                <c:pt idx="0">
                  <c:v>19.999870000000001</c:v>
                </c:pt>
                <c:pt idx="1">
                  <c:v>19.999870000000001</c:v>
                </c:pt>
                <c:pt idx="2">
                  <c:v>19.999870000000001</c:v>
                </c:pt>
                <c:pt idx="3">
                  <c:v>19.999870000000001</c:v>
                </c:pt>
                <c:pt idx="4">
                  <c:v>19.999870000000001</c:v>
                </c:pt>
                <c:pt idx="5">
                  <c:v>19.999870000000001</c:v>
                </c:pt>
                <c:pt idx="6">
                  <c:v>19.999870000000001</c:v>
                </c:pt>
                <c:pt idx="7">
                  <c:v>19.999870000000001</c:v>
                </c:pt>
                <c:pt idx="8">
                  <c:v>19.999870000000001</c:v>
                </c:pt>
                <c:pt idx="9">
                  <c:v>19.999870000000001</c:v>
                </c:pt>
                <c:pt idx="10">
                  <c:v>19.99981</c:v>
                </c:pt>
                <c:pt idx="11">
                  <c:v>19.999780000000001</c:v>
                </c:pt>
                <c:pt idx="12">
                  <c:v>19.999759999999998</c:v>
                </c:pt>
                <c:pt idx="13">
                  <c:v>19.999749999999999</c:v>
                </c:pt>
                <c:pt idx="14">
                  <c:v>19.999749999999999</c:v>
                </c:pt>
                <c:pt idx="15">
                  <c:v>19.999749999999999</c:v>
                </c:pt>
                <c:pt idx="16">
                  <c:v>19.999749999999999</c:v>
                </c:pt>
                <c:pt idx="17">
                  <c:v>67.675569999999993</c:v>
                </c:pt>
                <c:pt idx="18">
                  <c:v>210.67840000000001</c:v>
                </c:pt>
                <c:pt idx="19">
                  <c:v>342.4776</c:v>
                </c:pt>
                <c:pt idx="20">
                  <c:v>418.7835</c:v>
                </c:pt>
                <c:pt idx="21">
                  <c:v>470.37990000000002</c:v>
                </c:pt>
                <c:pt idx="22">
                  <c:v>515.88919999999996</c:v>
                </c:pt>
                <c:pt idx="23">
                  <c:v>562.95849999999996</c:v>
                </c:pt>
                <c:pt idx="24">
                  <c:v>609.2518</c:v>
                </c:pt>
                <c:pt idx="25">
                  <c:v>653.12800000000004</c:v>
                </c:pt>
                <c:pt idx="26">
                  <c:v>692.46109999999999</c:v>
                </c:pt>
                <c:pt idx="27">
                  <c:v>725.50509999999997</c:v>
                </c:pt>
                <c:pt idx="28">
                  <c:v>751.41110000000003</c:v>
                </c:pt>
                <c:pt idx="29">
                  <c:v>769.97329999999999</c:v>
                </c:pt>
                <c:pt idx="30">
                  <c:v>781.42380000000003</c:v>
                </c:pt>
                <c:pt idx="31">
                  <c:v>786.31129999999996</c:v>
                </c:pt>
                <c:pt idx="32">
                  <c:v>785.36</c:v>
                </c:pt>
                <c:pt idx="33">
                  <c:v>779.3433</c:v>
                </c:pt>
                <c:pt idx="34">
                  <c:v>769.07929999999999</c:v>
                </c:pt>
                <c:pt idx="35">
                  <c:v>755.38559999999995</c:v>
                </c:pt>
                <c:pt idx="36">
                  <c:v>738.96510000000001</c:v>
                </c:pt>
                <c:pt idx="37">
                  <c:v>720.44090000000006</c:v>
                </c:pt>
                <c:pt idx="38">
                  <c:v>700.36080000000004</c:v>
                </c:pt>
                <c:pt idx="39">
                  <c:v>679.38329999999996</c:v>
                </c:pt>
                <c:pt idx="40">
                  <c:v>658.27650000000006</c:v>
                </c:pt>
                <c:pt idx="41">
                  <c:v>637.34230000000002</c:v>
                </c:pt>
                <c:pt idx="42">
                  <c:v>616.58680000000004</c:v>
                </c:pt>
                <c:pt idx="43">
                  <c:v>596.08309999999994</c:v>
                </c:pt>
                <c:pt idx="44">
                  <c:v>575.90560000000005</c:v>
                </c:pt>
                <c:pt idx="45">
                  <c:v>556.32190000000003</c:v>
                </c:pt>
                <c:pt idx="46">
                  <c:v>539.03440000000001</c:v>
                </c:pt>
                <c:pt idx="47">
                  <c:v>525.75980000000004</c:v>
                </c:pt>
                <c:pt idx="48">
                  <c:v>514.56169999999997</c:v>
                </c:pt>
                <c:pt idx="49">
                  <c:v>504.47500000000002</c:v>
                </c:pt>
                <c:pt idx="50">
                  <c:v>495.04300000000001</c:v>
                </c:pt>
                <c:pt idx="51">
                  <c:v>453.6653</c:v>
                </c:pt>
                <c:pt idx="52">
                  <c:v>330.59210000000002</c:v>
                </c:pt>
                <c:pt idx="53">
                  <c:v>196.58709999999999</c:v>
                </c:pt>
                <c:pt idx="54">
                  <c:v>132.17760000000001</c:v>
                </c:pt>
                <c:pt idx="55">
                  <c:v>102.12730000000001</c:v>
                </c:pt>
                <c:pt idx="56">
                  <c:v>88.548730000000006</c:v>
                </c:pt>
                <c:pt idx="57">
                  <c:v>82.445120000000003</c:v>
                </c:pt>
                <c:pt idx="58">
                  <c:v>79.471850000000003</c:v>
                </c:pt>
                <c:pt idx="59">
                  <c:v>77.695760000000007</c:v>
                </c:pt>
                <c:pt idx="60">
                  <c:v>76.353679999999997</c:v>
                </c:pt>
                <c:pt idx="61">
                  <c:v>75.061279999999996</c:v>
                </c:pt>
                <c:pt idx="62">
                  <c:v>73.245369999999994</c:v>
                </c:pt>
                <c:pt idx="63">
                  <c:v>70.403800000000004</c:v>
                </c:pt>
                <c:pt idx="64">
                  <c:v>67.022090000000006</c:v>
                </c:pt>
                <c:pt idx="65">
                  <c:v>63.965409999999999</c:v>
                </c:pt>
                <c:pt idx="66">
                  <c:v>61.612549999999999</c:v>
                </c:pt>
                <c:pt idx="67">
                  <c:v>60.188319999999997</c:v>
                </c:pt>
                <c:pt idx="68">
                  <c:v>59.860340000000001</c:v>
                </c:pt>
                <c:pt idx="69">
                  <c:v>60.347110000000001</c:v>
                </c:pt>
                <c:pt idx="70">
                  <c:v>61.142479999999999</c:v>
                </c:pt>
                <c:pt idx="71">
                  <c:v>61.969169999999998</c:v>
                </c:pt>
                <c:pt idx="72">
                  <c:v>62.604759999999999</c:v>
                </c:pt>
                <c:pt idx="73">
                  <c:v>62.817540000000001</c:v>
                </c:pt>
                <c:pt idx="74">
                  <c:v>62.426819999999999</c:v>
                </c:pt>
                <c:pt idx="75">
                  <c:v>61.397150000000003</c:v>
                </c:pt>
                <c:pt idx="76">
                  <c:v>59.86533</c:v>
                </c:pt>
                <c:pt idx="77">
                  <c:v>58.056780000000003</c:v>
                </c:pt>
                <c:pt idx="78">
                  <c:v>56.139879999999998</c:v>
                </c:pt>
                <c:pt idx="79">
                  <c:v>54.13494</c:v>
                </c:pt>
                <c:pt idx="80">
                  <c:v>51.939320000000002</c:v>
                </c:pt>
                <c:pt idx="81">
                  <c:v>49.422020000000003</c:v>
                </c:pt>
                <c:pt idx="82">
                  <c:v>46.505209999999998</c:v>
                </c:pt>
                <c:pt idx="83">
                  <c:v>43.195059999999998</c:v>
                </c:pt>
                <c:pt idx="84">
                  <c:v>39.57085</c:v>
                </c:pt>
                <c:pt idx="85">
                  <c:v>35.756369999999997</c:v>
                </c:pt>
                <c:pt idx="86">
                  <c:v>31.890059999999998</c:v>
                </c:pt>
                <c:pt idx="87">
                  <c:v>28.10201</c:v>
                </c:pt>
                <c:pt idx="88">
                  <c:v>24.50102</c:v>
                </c:pt>
                <c:pt idx="89">
                  <c:v>21.165700000000001</c:v>
                </c:pt>
                <c:pt idx="90">
                  <c:v>18.14789</c:v>
                </c:pt>
                <c:pt idx="91">
                  <c:v>15.494009999999999</c:v>
                </c:pt>
                <c:pt idx="92">
                  <c:v>13.219989999999999</c:v>
                </c:pt>
                <c:pt idx="93">
                  <c:v>11.29571</c:v>
                </c:pt>
                <c:pt idx="94">
                  <c:v>9.6772179999999999</c:v>
                </c:pt>
                <c:pt idx="95">
                  <c:v>8.3202719999999992</c:v>
                </c:pt>
                <c:pt idx="96">
                  <c:v>7.1841939999999997</c:v>
                </c:pt>
                <c:pt idx="97">
                  <c:v>6.2228709999999996</c:v>
                </c:pt>
                <c:pt idx="98">
                  <c:v>5.3872080000000002</c:v>
                </c:pt>
                <c:pt idx="99">
                  <c:v>4.6547409999999996</c:v>
                </c:pt>
                <c:pt idx="100">
                  <c:v>4.0243469999999997</c:v>
                </c:pt>
                <c:pt idx="101">
                  <c:v>3.4819930000000001</c:v>
                </c:pt>
                <c:pt idx="102">
                  <c:v>3.0137890000000001</c:v>
                </c:pt>
                <c:pt idx="103">
                  <c:v>2.6273209999999998</c:v>
                </c:pt>
                <c:pt idx="104">
                  <c:v>2.3220450000000001</c:v>
                </c:pt>
                <c:pt idx="105">
                  <c:v>2.077617</c:v>
                </c:pt>
                <c:pt idx="106">
                  <c:v>1.8769020000000001</c:v>
                </c:pt>
                <c:pt idx="107">
                  <c:v>1.7014940000000001</c:v>
                </c:pt>
                <c:pt idx="108">
                  <c:v>1.5315669999999999</c:v>
                </c:pt>
                <c:pt idx="109">
                  <c:v>1.36703</c:v>
                </c:pt>
                <c:pt idx="110">
                  <c:v>1.2295119999999999</c:v>
                </c:pt>
                <c:pt idx="111">
                  <c:v>1.12493</c:v>
                </c:pt>
                <c:pt idx="112">
                  <c:v>1.0340590000000001</c:v>
                </c:pt>
                <c:pt idx="113">
                  <c:v>0.93715970000000004</c:v>
                </c:pt>
                <c:pt idx="114">
                  <c:v>0.83333599999999997</c:v>
                </c:pt>
                <c:pt idx="115">
                  <c:v>0.74151829999999996</c:v>
                </c:pt>
                <c:pt idx="116">
                  <c:v>0.68325959999999997</c:v>
                </c:pt>
                <c:pt idx="117">
                  <c:v>0.67714059999999998</c:v>
                </c:pt>
                <c:pt idx="118">
                  <c:v>0.72557570000000005</c:v>
                </c:pt>
                <c:pt idx="119">
                  <c:v>0.81487039999999999</c:v>
                </c:pt>
                <c:pt idx="120">
                  <c:v>0.93455849999999996</c:v>
                </c:pt>
                <c:pt idx="121">
                  <c:v>1.073348</c:v>
                </c:pt>
                <c:pt idx="122">
                  <c:v>1.2093879999999999</c:v>
                </c:pt>
                <c:pt idx="123">
                  <c:v>1.318846</c:v>
                </c:pt>
                <c:pt idx="124">
                  <c:v>1.381432</c:v>
                </c:pt>
                <c:pt idx="125">
                  <c:v>1.3851420000000001</c:v>
                </c:pt>
                <c:pt idx="126">
                  <c:v>1.334001</c:v>
                </c:pt>
                <c:pt idx="127">
                  <c:v>1.2463839999999999</c:v>
                </c:pt>
                <c:pt idx="128">
                  <c:v>1.1413340000000001</c:v>
                </c:pt>
                <c:pt idx="129">
                  <c:v>1.0307850000000001</c:v>
                </c:pt>
                <c:pt idx="130">
                  <c:v>0.92576199999999997</c:v>
                </c:pt>
                <c:pt idx="131">
                  <c:v>0.84230879999999997</c:v>
                </c:pt>
                <c:pt idx="132">
                  <c:v>0.79541099999999998</c:v>
                </c:pt>
                <c:pt idx="133">
                  <c:v>0.78806069999999995</c:v>
                </c:pt>
                <c:pt idx="134">
                  <c:v>0.80922539999999998</c:v>
                </c:pt>
                <c:pt idx="135">
                  <c:v>0.84122070000000004</c:v>
                </c:pt>
                <c:pt idx="136">
                  <c:v>0.86789170000000004</c:v>
                </c:pt>
                <c:pt idx="137">
                  <c:v>0.87850209999999995</c:v>
                </c:pt>
                <c:pt idx="138">
                  <c:v>0.86923309999999998</c:v>
                </c:pt>
                <c:pt idx="139">
                  <c:v>0.84454600000000002</c:v>
                </c:pt>
                <c:pt idx="140">
                  <c:v>0.81544890000000003</c:v>
                </c:pt>
                <c:pt idx="141">
                  <c:v>0.79190340000000004</c:v>
                </c:pt>
                <c:pt idx="142">
                  <c:v>0.77681250000000002</c:v>
                </c:pt>
                <c:pt idx="143">
                  <c:v>0.77160850000000003</c:v>
                </c:pt>
                <c:pt idx="144">
                  <c:v>0.78437069999999998</c:v>
                </c:pt>
              </c:numCache>
            </c:numRef>
          </c:yVal>
          <c:smooth val="1"/>
        </c:ser>
        <c:axId val="67326720"/>
        <c:axId val="67328256"/>
      </c:scatterChart>
      <c:scatterChart>
        <c:scatterStyle val="smoothMarker"/>
        <c:ser>
          <c:idx val="2"/>
          <c:order val="2"/>
          <c:tx>
            <c:strRef>
              <c:f>API!$K$1</c:f>
              <c:strCache>
                <c:ptCount val="1"/>
                <c:pt idx="0">
                  <c:v>Z</c:v>
                </c:pt>
              </c:strCache>
            </c:strRef>
          </c:tx>
          <c:marker>
            <c:symbol val="none"/>
          </c:marker>
          <c:xVal>
            <c:numRef>
              <c:f>API!$D$3:$D$147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API!$K$3:$K$148</c:f>
              <c:numCache>
                <c:formatCode>0.0000_ </c:formatCode>
                <c:ptCount val="146"/>
                <c:pt idx="0">
                  <c:v>240</c:v>
                </c:pt>
                <c:pt idx="1">
                  <c:v>239.99000549316406</c:v>
                </c:pt>
                <c:pt idx="2">
                  <c:v>239.99000549316406</c:v>
                </c:pt>
                <c:pt idx="3">
                  <c:v>239.99000549316406</c:v>
                </c:pt>
                <c:pt idx="4">
                  <c:v>240</c:v>
                </c:pt>
                <c:pt idx="5">
                  <c:v>240.55000305175781</c:v>
                </c:pt>
                <c:pt idx="6">
                  <c:v>241.02000427246094</c:v>
                </c:pt>
                <c:pt idx="7">
                  <c:v>241.08999633789062</c:v>
                </c:pt>
                <c:pt idx="8">
                  <c:v>241.19000244140625</c:v>
                </c:pt>
                <c:pt idx="9">
                  <c:v>241.35000610351562</c:v>
                </c:pt>
                <c:pt idx="10">
                  <c:v>241.5</c:v>
                </c:pt>
                <c:pt idx="11">
                  <c:v>241.66999816894531</c:v>
                </c:pt>
                <c:pt idx="12">
                  <c:v>241.86000061035156</c:v>
                </c:pt>
                <c:pt idx="13">
                  <c:v>242.13999938964844</c:v>
                </c:pt>
                <c:pt idx="14">
                  <c:v>242.52000427246094</c:v>
                </c:pt>
                <c:pt idx="15">
                  <c:v>242.8800048828125</c:v>
                </c:pt>
                <c:pt idx="16">
                  <c:v>243.19999694824219</c:v>
                </c:pt>
                <c:pt idx="17">
                  <c:v>243.46000671386719</c:v>
                </c:pt>
                <c:pt idx="18">
                  <c:v>243.66999816894531</c:v>
                </c:pt>
                <c:pt idx="19">
                  <c:v>243.83000183105469</c:v>
                </c:pt>
                <c:pt idx="20">
                  <c:v>243.91999816894531</c:v>
                </c:pt>
                <c:pt idx="21">
                  <c:v>243.97000122070312</c:v>
                </c:pt>
                <c:pt idx="22">
                  <c:v>243.97000122070312</c:v>
                </c:pt>
                <c:pt idx="23">
                  <c:v>243.92999267578125</c:v>
                </c:pt>
                <c:pt idx="24">
                  <c:v>243.8699951171875</c:v>
                </c:pt>
                <c:pt idx="25">
                  <c:v>243.77000427246094</c:v>
                </c:pt>
                <c:pt idx="26">
                  <c:v>243.64999389648437</c:v>
                </c:pt>
                <c:pt idx="27">
                  <c:v>243.52000427246094</c:v>
                </c:pt>
                <c:pt idx="28">
                  <c:v>243.3800048828125</c:v>
                </c:pt>
                <c:pt idx="29">
                  <c:v>243.22999572753906</c:v>
                </c:pt>
                <c:pt idx="30">
                  <c:v>243.07000732421875</c:v>
                </c:pt>
                <c:pt idx="31">
                  <c:v>242.91000366210937</c:v>
                </c:pt>
                <c:pt idx="32">
                  <c:v>242.75</c:v>
                </c:pt>
                <c:pt idx="33">
                  <c:v>242.58999633789062</c:v>
                </c:pt>
                <c:pt idx="34">
                  <c:v>242.44000244140625</c:v>
                </c:pt>
                <c:pt idx="35">
                  <c:v>242.27999877929687</c:v>
                </c:pt>
                <c:pt idx="36">
                  <c:v>242.1300048828125</c:v>
                </c:pt>
                <c:pt idx="37">
                  <c:v>241.99000549316406</c:v>
                </c:pt>
                <c:pt idx="38">
                  <c:v>241.91000366210937</c:v>
                </c:pt>
                <c:pt idx="39">
                  <c:v>241.83999633789063</c:v>
                </c:pt>
                <c:pt idx="40">
                  <c:v>241.75999450683594</c:v>
                </c:pt>
                <c:pt idx="41">
                  <c:v>241.67999267578125</c:v>
                </c:pt>
                <c:pt idx="42">
                  <c:v>241.61000061035156</c:v>
                </c:pt>
                <c:pt idx="43">
                  <c:v>241.53999328613281</c:v>
                </c:pt>
                <c:pt idx="44">
                  <c:v>241.5</c:v>
                </c:pt>
                <c:pt idx="45">
                  <c:v>241.5</c:v>
                </c:pt>
                <c:pt idx="46">
                  <c:v>241.5</c:v>
                </c:pt>
                <c:pt idx="47">
                  <c:v>241.5</c:v>
                </c:pt>
                <c:pt idx="48">
                  <c:v>241.5</c:v>
                </c:pt>
                <c:pt idx="49">
                  <c:v>241.5</c:v>
                </c:pt>
                <c:pt idx="50">
                  <c:v>241.5</c:v>
                </c:pt>
                <c:pt idx="51">
                  <c:v>241.5</c:v>
                </c:pt>
                <c:pt idx="52">
                  <c:v>241.5</c:v>
                </c:pt>
                <c:pt idx="53">
                  <c:v>241.5</c:v>
                </c:pt>
                <c:pt idx="54">
                  <c:v>241.5</c:v>
                </c:pt>
                <c:pt idx="55">
                  <c:v>241.5</c:v>
                </c:pt>
                <c:pt idx="56">
                  <c:v>241.5</c:v>
                </c:pt>
                <c:pt idx="57">
                  <c:v>241.5</c:v>
                </c:pt>
                <c:pt idx="58">
                  <c:v>241.5</c:v>
                </c:pt>
                <c:pt idx="59">
                  <c:v>241.5</c:v>
                </c:pt>
                <c:pt idx="60">
                  <c:v>241.5</c:v>
                </c:pt>
                <c:pt idx="61">
                  <c:v>241.5</c:v>
                </c:pt>
                <c:pt idx="62">
                  <c:v>241.5</c:v>
                </c:pt>
                <c:pt idx="63">
                  <c:v>241.5</c:v>
                </c:pt>
                <c:pt idx="64">
                  <c:v>241.5</c:v>
                </c:pt>
                <c:pt idx="65">
                  <c:v>241.5</c:v>
                </c:pt>
                <c:pt idx="66">
                  <c:v>241.5</c:v>
                </c:pt>
                <c:pt idx="67">
                  <c:v>241.5</c:v>
                </c:pt>
                <c:pt idx="68">
                  <c:v>241.5</c:v>
                </c:pt>
                <c:pt idx="69">
                  <c:v>241.5</c:v>
                </c:pt>
                <c:pt idx="70">
                  <c:v>241.5</c:v>
                </c:pt>
                <c:pt idx="71">
                  <c:v>241.5</c:v>
                </c:pt>
                <c:pt idx="72">
                  <c:v>241.5</c:v>
                </c:pt>
                <c:pt idx="73">
                  <c:v>241.5</c:v>
                </c:pt>
                <c:pt idx="74">
                  <c:v>241.5</c:v>
                </c:pt>
                <c:pt idx="75">
                  <c:v>241.5</c:v>
                </c:pt>
                <c:pt idx="76">
                  <c:v>241.5</c:v>
                </c:pt>
                <c:pt idx="77">
                  <c:v>241.5</c:v>
                </c:pt>
                <c:pt idx="78">
                  <c:v>241.5</c:v>
                </c:pt>
                <c:pt idx="79">
                  <c:v>241.5</c:v>
                </c:pt>
                <c:pt idx="80">
                  <c:v>241.5</c:v>
                </c:pt>
                <c:pt idx="81">
                  <c:v>241.5</c:v>
                </c:pt>
                <c:pt idx="82">
                  <c:v>241.5</c:v>
                </c:pt>
                <c:pt idx="83">
                  <c:v>241.5</c:v>
                </c:pt>
                <c:pt idx="84">
                  <c:v>241.5</c:v>
                </c:pt>
                <c:pt idx="85">
                  <c:v>241.5</c:v>
                </c:pt>
                <c:pt idx="86">
                  <c:v>241.5</c:v>
                </c:pt>
                <c:pt idx="87">
                  <c:v>241.5</c:v>
                </c:pt>
                <c:pt idx="88">
                  <c:v>241.5</c:v>
                </c:pt>
                <c:pt idx="89">
                  <c:v>241.5</c:v>
                </c:pt>
                <c:pt idx="90">
                  <c:v>241.5</c:v>
                </c:pt>
                <c:pt idx="91">
                  <c:v>241.5</c:v>
                </c:pt>
                <c:pt idx="92">
                  <c:v>241.5</c:v>
                </c:pt>
                <c:pt idx="93">
                  <c:v>241.5</c:v>
                </c:pt>
                <c:pt idx="94">
                  <c:v>241.5</c:v>
                </c:pt>
                <c:pt idx="95">
                  <c:v>241.5</c:v>
                </c:pt>
                <c:pt idx="96">
                  <c:v>241.5</c:v>
                </c:pt>
                <c:pt idx="97">
                  <c:v>241.5</c:v>
                </c:pt>
                <c:pt idx="98">
                  <c:v>241.5</c:v>
                </c:pt>
                <c:pt idx="99">
                  <c:v>241.5</c:v>
                </c:pt>
                <c:pt idx="100">
                  <c:v>241.5</c:v>
                </c:pt>
                <c:pt idx="101">
                  <c:v>241.5</c:v>
                </c:pt>
                <c:pt idx="102">
                  <c:v>241.5</c:v>
                </c:pt>
                <c:pt idx="103">
                  <c:v>241.5</c:v>
                </c:pt>
                <c:pt idx="104">
                  <c:v>241.5</c:v>
                </c:pt>
                <c:pt idx="105">
                  <c:v>241.5</c:v>
                </c:pt>
                <c:pt idx="106">
                  <c:v>241.5</c:v>
                </c:pt>
                <c:pt idx="107">
                  <c:v>241.5</c:v>
                </c:pt>
                <c:pt idx="108">
                  <c:v>241.5</c:v>
                </c:pt>
                <c:pt idx="109">
                  <c:v>241.5</c:v>
                </c:pt>
                <c:pt idx="110">
                  <c:v>241.5</c:v>
                </c:pt>
                <c:pt idx="111">
                  <c:v>241.5</c:v>
                </c:pt>
                <c:pt idx="112">
                  <c:v>241.5</c:v>
                </c:pt>
                <c:pt idx="113">
                  <c:v>241.5</c:v>
                </c:pt>
                <c:pt idx="114">
                  <c:v>241.5</c:v>
                </c:pt>
                <c:pt idx="115">
                  <c:v>241.5</c:v>
                </c:pt>
                <c:pt idx="116">
                  <c:v>241.5</c:v>
                </c:pt>
                <c:pt idx="117">
                  <c:v>241.5</c:v>
                </c:pt>
                <c:pt idx="118">
                  <c:v>241.5</c:v>
                </c:pt>
                <c:pt idx="119">
                  <c:v>241.5</c:v>
                </c:pt>
                <c:pt idx="120">
                  <c:v>241.5</c:v>
                </c:pt>
                <c:pt idx="121">
                  <c:v>241.5</c:v>
                </c:pt>
                <c:pt idx="122">
                  <c:v>241.5</c:v>
                </c:pt>
                <c:pt idx="123">
                  <c:v>241.5</c:v>
                </c:pt>
                <c:pt idx="124">
                  <c:v>241.5</c:v>
                </c:pt>
                <c:pt idx="125">
                  <c:v>241.5</c:v>
                </c:pt>
                <c:pt idx="126">
                  <c:v>241.5</c:v>
                </c:pt>
                <c:pt idx="127">
                  <c:v>241.5</c:v>
                </c:pt>
                <c:pt idx="128">
                  <c:v>241.5</c:v>
                </c:pt>
                <c:pt idx="129">
                  <c:v>241.5</c:v>
                </c:pt>
                <c:pt idx="130">
                  <c:v>241.5</c:v>
                </c:pt>
                <c:pt idx="131">
                  <c:v>241.5</c:v>
                </c:pt>
                <c:pt idx="132">
                  <c:v>241.5</c:v>
                </c:pt>
                <c:pt idx="133">
                  <c:v>241.5</c:v>
                </c:pt>
                <c:pt idx="134">
                  <c:v>241.5</c:v>
                </c:pt>
                <c:pt idx="135">
                  <c:v>241.5</c:v>
                </c:pt>
                <c:pt idx="136">
                  <c:v>241.5</c:v>
                </c:pt>
                <c:pt idx="137">
                  <c:v>241.5</c:v>
                </c:pt>
                <c:pt idx="138">
                  <c:v>241.5</c:v>
                </c:pt>
                <c:pt idx="139">
                  <c:v>241.5</c:v>
                </c:pt>
                <c:pt idx="140">
                  <c:v>241.5</c:v>
                </c:pt>
                <c:pt idx="141">
                  <c:v>241.5</c:v>
                </c:pt>
                <c:pt idx="142">
                  <c:v>241.5</c:v>
                </c:pt>
                <c:pt idx="143">
                  <c:v>241.5</c:v>
                </c:pt>
                <c:pt idx="144">
                  <c:v>241.5</c:v>
                </c:pt>
                <c:pt idx="145">
                  <c:v>241.5</c:v>
                </c:pt>
              </c:numCache>
            </c:numRef>
          </c:yVal>
          <c:smooth val="1"/>
        </c:ser>
        <c:axId val="67339776"/>
        <c:axId val="67338240"/>
      </c:scatterChart>
      <c:valAx>
        <c:axId val="67326720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67328256"/>
        <c:crosses val="autoZero"/>
        <c:crossBetween val="midCat"/>
      </c:valAx>
      <c:valAx>
        <c:axId val="67328256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67326720"/>
        <c:crosses val="autoZero"/>
        <c:crossBetween val="midCat"/>
      </c:valAx>
      <c:valAx>
        <c:axId val="67338240"/>
        <c:scaling>
          <c:orientation val="minMax"/>
          <c:max val="245"/>
          <c:min val="239"/>
        </c:scaling>
        <c:axPos val="r"/>
        <c:numFmt formatCode="0;[Red]0" sourceLinked="0"/>
        <c:tickLblPos val="nextTo"/>
        <c:crossAx val="67339776"/>
        <c:crosses val="max"/>
        <c:crossBetween val="midCat"/>
      </c:valAx>
      <c:valAx>
        <c:axId val="67339776"/>
        <c:scaling>
          <c:orientation val="minMax"/>
        </c:scaling>
        <c:delete val="1"/>
        <c:axPos val="b"/>
        <c:numFmt formatCode="yyyy/m/d\ h:mm;@" sourceLinked="1"/>
        <c:tickLblPos val="nextTo"/>
        <c:crossAx val="67338240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b"/>
      <c:layout/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276226</xdr:colOff>
      <xdr:row>3</xdr:row>
      <xdr:rowOff>19050</xdr:rowOff>
    </xdr:from>
    <xdr:to>
      <xdr:col>27</xdr:col>
      <xdr:colOff>0</xdr:colOff>
      <xdr:row>43</xdr:row>
      <xdr:rowOff>28576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741"/>
  <sheetViews>
    <sheetView tabSelected="1" zoomScaleSheetLayoutView="100" workbookViewId="0">
      <selection activeCell="E15" sqref="E15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6" width="13.75" style="19" bestFit="1" customWidth="1"/>
    <col min="7" max="7" width="12" style="25" bestFit="1" customWidth="1"/>
    <col min="8" max="9" width="12" style="19" bestFit="1" customWidth="1"/>
    <col min="10" max="10" width="12.75" style="19" bestFit="1" customWidth="1"/>
    <col min="11" max="11" width="12" style="19" bestFit="1" customWidth="1"/>
    <col min="12" max="12" width="10.75" style="19" bestFit="1" customWidth="1"/>
    <col min="13" max="26" width="9" style="19"/>
    <col min="27" max="27" width="9" style="28"/>
    <col min="28" max="30" width="9" style="1"/>
    <col min="31" max="31" width="13.875" style="1" bestFit="1" customWidth="1"/>
    <col min="32" max="32" width="11.625" style="1" bestFit="1" customWidth="1"/>
    <col min="33" max="16384" width="9" style="1"/>
  </cols>
  <sheetData>
    <row r="1" spans="1:32" ht="13.5" customHeight="1">
      <c r="A1" s="27" t="s">
        <v>0</v>
      </c>
      <c r="B1" s="27" t="s">
        <v>1</v>
      </c>
      <c r="C1" s="7"/>
      <c r="D1" s="39" t="s">
        <v>2</v>
      </c>
      <c r="E1" s="40" t="s">
        <v>3</v>
      </c>
      <c r="F1" s="46" t="s">
        <v>17</v>
      </c>
      <c r="G1" s="48" t="s">
        <v>4</v>
      </c>
      <c r="H1" s="44" t="s">
        <v>5</v>
      </c>
      <c r="I1" s="44" t="s">
        <v>20</v>
      </c>
      <c r="J1" s="42" t="s">
        <v>25</v>
      </c>
      <c r="K1" s="37" t="s">
        <v>26</v>
      </c>
      <c r="L1" s="37" t="s">
        <v>27</v>
      </c>
    </row>
    <row r="2" spans="1:32" ht="15" customHeight="1">
      <c r="A2" s="27" t="s">
        <v>6</v>
      </c>
      <c r="B2" s="27">
        <v>0.85</v>
      </c>
      <c r="C2" s="7"/>
      <c r="D2" s="39"/>
      <c r="E2" s="41"/>
      <c r="F2" s="47"/>
      <c r="G2" s="49"/>
      <c r="H2" s="45"/>
      <c r="I2" s="45"/>
      <c r="J2" s="43"/>
      <c r="K2" s="38"/>
      <c r="L2" s="38"/>
    </row>
    <row r="3" spans="1:32">
      <c r="A3" s="27" t="s">
        <v>7</v>
      </c>
      <c r="B3" s="27">
        <v>0.60499999999999998</v>
      </c>
      <c r="C3" s="8"/>
      <c r="D3" s="16">
        <v>43921.708333333336</v>
      </c>
      <c r="E3" s="17">
        <v>0</v>
      </c>
      <c r="F3" s="19">
        <v>0</v>
      </c>
      <c r="G3" s="25">
        <v>0</v>
      </c>
      <c r="H3" s="19">
        <v>19.999870000000001</v>
      </c>
      <c r="I3" s="19">
        <v>0</v>
      </c>
      <c r="J3" s="19">
        <v>20</v>
      </c>
      <c r="K3" s="19">
        <v>240</v>
      </c>
      <c r="L3" s="19">
        <v>80.400001525878906</v>
      </c>
    </row>
    <row r="4" spans="1:32">
      <c r="A4" s="27" t="s">
        <v>8</v>
      </c>
      <c r="B4" s="27">
        <v>60</v>
      </c>
      <c r="C4" s="8"/>
      <c r="D4" s="16">
        <v>43921.75</v>
      </c>
      <c r="E4" s="17">
        <v>10</v>
      </c>
      <c r="F4" s="21">
        <v>4.1276929999999998</v>
      </c>
      <c r="G4" s="26">
        <v>1.5077480000000001</v>
      </c>
      <c r="H4" s="21">
        <v>19.999870000000001</v>
      </c>
      <c r="I4" s="21">
        <v>8.8659260654821992E-4</v>
      </c>
      <c r="J4" s="19">
        <v>20</v>
      </c>
      <c r="K4" s="19">
        <v>239.99000549316406</v>
      </c>
      <c r="L4" s="19">
        <v>80.330001831054687</v>
      </c>
    </row>
    <row r="5" spans="1:32" s="6" customFormat="1">
      <c r="A5" s="27" t="s">
        <v>9</v>
      </c>
      <c r="B5" s="27">
        <v>270</v>
      </c>
      <c r="C5" s="10"/>
      <c r="D5" s="16">
        <v>43921.791666666664</v>
      </c>
      <c r="E5" s="17">
        <v>20</v>
      </c>
      <c r="F5" s="21">
        <v>8.5794270000000008</v>
      </c>
      <c r="G5" s="26">
        <v>8.7623569999999997</v>
      </c>
      <c r="H5" s="21">
        <v>19.999870000000001</v>
      </c>
      <c r="I5" s="21">
        <v>3.3096943516284227E-3</v>
      </c>
      <c r="J5" s="20">
        <v>20</v>
      </c>
      <c r="K5" s="20">
        <v>239.99000549316406</v>
      </c>
      <c r="L5" s="20">
        <v>80.279998779296875</v>
      </c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9"/>
      <c r="AE5" s="1"/>
      <c r="AF5" s="1"/>
    </row>
    <row r="6" spans="1:32" s="5" customFormat="1">
      <c r="A6" s="27" t="s">
        <v>10</v>
      </c>
      <c r="B6" s="27">
        <v>4</v>
      </c>
      <c r="C6" s="11"/>
      <c r="D6" s="16">
        <v>43921.833333333336</v>
      </c>
      <c r="E6" s="17">
        <v>30</v>
      </c>
      <c r="F6" s="19">
        <v>13.314159999999999</v>
      </c>
      <c r="G6" s="25">
        <v>28.88776</v>
      </c>
      <c r="H6" s="19">
        <v>19.999870000000001</v>
      </c>
      <c r="I6" s="19">
        <v>7.2477278299629688E-3</v>
      </c>
      <c r="J6" s="21">
        <v>20</v>
      </c>
      <c r="K6" s="21">
        <v>239.99000549316406</v>
      </c>
      <c r="L6" s="21">
        <v>80.279998779296875</v>
      </c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30"/>
      <c r="AB6" s="1"/>
      <c r="AE6" s="1"/>
      <c r="AF6" s="1"/>
    </row>
    <row r="7" spans="1:32">
      <c r="A7" s="27" t="s">
        <v>11</v>
      </c>
      <c r="B7" s="27">
        <v>150</v>
      </c>
      <c r="C7" s="12"/>
      <c r="D7" s="16">
        <v>43921.875</v>
      </c>
      <c r="E7" s="17">
        <v>50</v>
      </c>
      <c r="F7" s="19">
        <v>23.484839999999998</v>
      </c>
      <c r="G7" s="25">
        <v>72.147490000000005</v>
      </c>
      <c r="H7" s="19">
        <v>19.999870000000001</v>
      </c>
      <c r="I7" s="19">
        <v>1.1640067212283611E-2</v>
      </c>
      <c r="J7" s="19">
        <v>20</v>
      </c>
      <c r="K7" s="19">
        <v>240</v>
      </c>
      <c r="L7" s="19">
        <v>80.389999389648437</v>
      </c>
      <c r="AB7" s="6"/>
    </row>
    <row r="8" spans="1:32">
      <c r="A8" s="27" t="s">
        <v>12</v>
      </c>
      <c r="B8" s="27">
        <v>120</v>
      </c>
      <c r="C8" s="12"/>
      <c r="D8" s="16">
        <v>43921.916666666664</v>
      </c>
      <c r="E8" s="17">
        <v>100</v>
      </c>
      <c r="F8" s="19">
        <v>51.600790000000003</v>
      </c>
      <c r="G8" s="25">
        <v>158.262</v>
      </c>
      <c r="H8" s="19">
        <v>19.999870000000001</v>
      </c>
      <c r="I8" s="19">
        <v>1.5575750730931759E-2</v>
      </c>
      <c r="J8" s="19">
        <v>20</v>
      </c>
      <c r="K8" s="19">
        <v>240.55000305175781</v>
      </c>
      <c r="L8" s="19">
        <v>80.730003356933594</v>
      </c>
    </row>
    <row r="9" spans="1:32">
      <c r="A9" s="27" t="s">
        <v>14</v>
      </c>
      <c r="B9" s="27">
        <v>2.7</v>
      </c>
      <c r="C9" s="13"/>
      <c r="D9" s="16">
        <v>43921.958333333336</v>
      </c>
      <c r="E9" s="17">
        <v>80</v>
      </c>
      <c r="F9" s="19">
        <v>40.021470000000001</v>
      </c>
      <c r="G9" s="25">
        <v>305.50380000000001</v>
      </c>
      <c r="H9" s="19">
        <v>19.999870000000001</v>
      </c>
      <c r="I9" s="19">
        <v>1.8515901640057564E-2</v>
      </c>
      <c r="J9" s="19">
        <v>20</v>
      </c>
      <c r="K9" s="19">
        <v>241.02000427246094</v>
      </c>
      <c r="L9" s="19">
        <v>81.489997863769531</v>
      </c>
      <c r="AB9" s="6"/>
    </row>
    <row r="10" spans="1:32">
      <c r="A10" s="27" t="s">
        <v>13</v>
      </c>
      <c r="B10" s="27">
        <v>412</v>
      </c>
      <c r="C10" s="13"/>
      <c r="D10" s="16">
        <v>43922</v>
      </c>
      <c r="E10" s="17">
        <v>70</v>
      </c>
      <c r="F10" s="19">
        <v>34.375500000000002</v>
      </c>
      <c r="G10" s="25">
        <v>519.19330000000002</v>
      </c>
      <c r="H10" s="19">
        <v>19.999870000000001</v>
      </c>
      <c r="I10" s="19">
        <v>2.0266640931367874E-2</v>
      </c>
      <c r="J10" s="19">
        <v>20</v>
      </c>
      <c r="K10" s="19">
        <v>241.08999633789062</v>
      </c>
      <c r="L10" s="19">
        <v>82.900001525878906</v>
      </c>
    </row>
    <row r="11" spans="1:32">
      <c r="A11" s="27" t="s">
        <v>15</v>
      </c>
      <c r="B11" s="27">
        <v>1</v>
      </c>
      <c r="C11" s="13"/>
      <c r="D11" s="16">
        <v>43922.041666666664</v>
      </c>
      <c r="E11" s="17">
        <v>60</v>
      </c>
      <c r="F11" s="19">
        <v>28.854769999999998</v>
      </c>
      <c r="G11" s="25">
        <v>783.79610000000002</v>
      </c>
      <c r="H11" s="19">
        <v>19.999870000000001</v>
      </c>
      <c r="I11" s="19">
        <v>2.0875537768006325E-2</v>
      </c>
      <c r="J11" s="19">
        <v>20</v>
      </c>
      <c r="K11" s="19">
        <v>241.19000244140625</v>
      </c>
      <c r="L11" s="19">
        <v>85.169998168945313</v>
      </c>
      <c r="AB11" s="6"/>
    </row>
    <row r="12" spans="1:32">
      <c r="A12" s="27" t="s">
        <v>18</v>
      </c>
      <c r="B12" s="27">
        <v>9</v>
      </c>
      <c r="C12" s="13"/>
      <c r="D12" s="16">
        <v>43922.083333333336</v>
      </c>
      <c r="E12" s="17">
        <v>50</v>
      </c>
      <c r="F12" s="19">
        <v>23.484839999999998</v>
      </c>
      <c r="G12" s="25">
        <v>1072.6590000000001</v>
      </c>
      <c r="H12" s="19">
        <v>19.999870000000001</v>
      </c>
      <c r="I12" s="19">
        <v>2.052605152130127E-2</v>
      </c>
      <c r="J12" s="19">
        <v>292.05667114257812</v>
      </c>
      <c r="K12" s="19">
        <v>241.35000610351562</v>
      </c>
      <c r="L12" s="19">
        <v>88.44000244140625</v>
      </c>
    </row>
    <row r="13" spans="1:32">
      <c r="A13" s="27" t="s">
        <v>19</v>
      </c>
      <c r="B13" s="27">
        <v>0.15</v>
      </c>
      <c r="C13" s="13"/>
      <c r="D13" s="16">
        <v>43922.125</v>
      </c>
      <c r="E13" s="17">
        <v>4</v>
      </c>
      <c r="F13" s="19">
        <v>1.609426</v>
      </c>
      <c r="G13" s="25">
        <v>1350.3420000000001</v>
      </c>
      <c r="H13" s="19">
        <v>19.99981</v>
      </c>
      <c r="I13" s="19">
        <v>1.945602148771286E-2</v>
      </c>
      <c r="J13" s="19">
        <v>467</v>
      </c>
      <c r="K13" s="19">
        <v>241.5</v>
      </c>
      <c r="L13" s="19">
        <v>91.75</v>
      </c>
      <c r="AB13" s="6"/>
    </row>
    <row r="14" spans="1:32">
      <c r="A14" s="23" t="s">
        <v>16</v>
      </c>
      <c r="B14" s="24">
        <v>44.618000000000002</v>
      </c>
      <c r="C14" s="14"/>
      <c r="D14" s="16">
        <v>43922.166666666664</v>
      </c>
      <c r="E14" s="17">
        <v>3</v>
      </c>
      <c r="F14" s="19">
        <v>1.2017070000000001</v>
      </c>
      <c r="G14" s="25">
        <v>1581.7</v>
      </c>
      <c r="H14" s="19">
        <v>19.999780000000001</v>
      </c>
      <c r="I14" s="19">
        <v>1.7904229462146759E-2</v>
      </c>
      <c r="J14" s="19">
        <v>486.75729370117187</v>
      </c>
      <c r="K14" s="19">
        <v>241.66999816894531</v>
      </c>
      <c r="L14" s="19">
        <v>95.349998474121094</v>
      </c>
    </row>
    <row r="15" spans="1:32">
      <c r="A15" s="22"/>
      <c r="B15" s="7"/>
      <c r="C15" s="14"/>
      <c r="D15" s="16">
        <v>43922.208333333336</v>
      </c>
      <c r="E15" s="17">
        <v>2</v>
      </c>
      <c r="F15" s="19">
        <v>0.79753240000000003</v>
      </c>
      <c r="G15" s="25">
        <v>1740.7049999999999</v>
      </c>
      <c r="H15" s="19">
        <v>19.999759999999998</v>
      </c>
      <c r="I15" s="19">
        <v>1.6080575063824654E-2</v>
      </c>
      <c r="J15" s="19">
        <v>509.97341918945312</v>
      </c>
      <c r="K15" s="19">
        <v>241.86000061035156</v>
      </c>
      <c r="L15" s="19">
        <v>99.580001831054688</v>
      </c>
      <c r="AB15" s="6"/>
    </row>
    <row r="16" spans="1:32">
      <c r="C16" s="13"/>
      <c r="D16" s="16">
        <v>43922.25</v>
      </c>
      <c r="E16" s="17">
        <v>1</v>
      </c>
      <c r="F16" s="19">
        <v>0.39694829999999998</v>
      </c>
      <c r="G16" s="25">
        <v>1818.3579999999999</v>
      </c>
      <c r="H16" s="19">
        <v>19.999749999999999</v>
      </c>
      <c r="I16" s="19">
        <v>1.415324117988348E-2</v>
      </c>
      <c r="J16" s="19">
        <v>543.8746337890625</v>
      </c>
      <c r="K16" s="19">
        <v>242.13999938964844</v>
      </c>
      <c r="L16" s="19">
        <v>104.15000152587891</v>
      </c>
    </row>
    <row r="17" spans="1:32">
      <c r="C17" s="13"/>
      <c r="D17" s="16">
        <v>43922.291666666664</v>
      </c>
      <c r="E17" s="17">
        <v>0</v>
      </c>
      <c r="F17" s="21">
        <v>0</v>
      </c>
      <c r="G17" s="26">
        <v>1819.133</v>
      </c>
      <c r="H17" s="19">
        <v>19.999749999999999</v>
      </c>
      <c r="I17" s="19">
        <v>1.2246618047356606E-2</v>
      </c>
      <c r="J17" s="19">
        <v>593.6005859375</v>
      </c>
      <c r="K17" s="19">
        <v>242.52000427246094</v>
      </c>
      <c r="L17" s="19">
        <v>108.73999786376953</v>
      </c>
      <c r="AB17" s="6"/>
    </row>
    <row r="18" spans="1:32">
      <c r="C18" s="15"/>
      <c r="D18" s="16">
        <v>43922.333333333336</v>
      </c>
      <c r="E18" s="17">
        <v>0</v>
      </c>
      <c r="F18" s="19">
        <v>0</v>
      </c>
      <c r="G18" s="25">
        <v>1755.694</v>
      </c>
      <c r="H18" s="19">
        <v>19.999749999999999</v>
      </c>
      <c r="I18" s="19">
        <v>1.0445320047438145E-2</v>
      </c>
      <c r="J18" s="19">
        <v>640.18243408203125</v>
      </c>
      <c r="K18" s="19">
        <v>242.8800048828125</v>
      </c>
      <c r="L18" s="19">
        <v>113.04000091552734</v>
      </c>
    </row>
    <row r="19" spans="1:32">
      <c r="C19" s="15"/>
      <c r="D19" s="16">
        <v>43922.375</v>
      </c>
      <c r="E19" s="17">
        <v>0</v>
      </c>
      <c r="F19" s="19">
        <v>0</v>
      </c>
      <c r="G19" s="25">
        <v>1644.2760000000001</v>
      </c>
      <c r="H19" s="21">
        <v>19.999749999999999</v>
      </c>
      <c r="I19" s="21">
        <v>8.8009433820843697E-3</v>
      </c>
      <c r="J19" s="19">
        <v>683.73052978515625</v>
      </c>
      <c r="K19" s="19">
        <v>243.19999694824219</v>
      </c>
      <c r="L19" s="19">
        <v>116.86000061035156</v>
      </c>
      <c r="AB19" s="6"/>
    </row>
    <row r="20" spans="1:32" s="5" customFormat="1">
      <c r="A20" s="1"/>
      <c r="B20" s="1"/>
      <c r="C20" s="9"/>
      <c r="D20" s="16">
        <v>43922.416666666664</v>
      </c>
      <c r="E20" s="17">
        <v>0</v>
      </c>
      <c r="F20" s="19">
        <v>0</v>
      </c>
      <c r="G20" s="25">
        <v>1501.4059999999999</v>
      </c>
      <c r="H20" s="19">
        <v>67.675569999999993</v>
      </c>
      <c r="I20" s="19">
        <v>7.3395175859332085E-3</v>
      </c>
      <c r="J20" s="21">
        <v>721.3299560546875</v>
      </c>
      <c r="K20" s="21">
        <v>243.46000671386719</v>
      </c>
      <c r="L20" s="21">
        <v>120.05999755859375</v>
      </c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30"/>
      <c r="AB20" s="1"/>
      <c r="AE20" s="1"/>
      <c r="AF20" s="1"/>
    </row>
    <row r="21" spans="1:32">
      <c r="A21" s="2"/>
      <c r="C21" s="7"/>
      <c r="D21" s="16">
        <v>43922.458333333336</v>
      </c>
      <c r="E21" s="17">
        <v>0</v>
      </c>
      <c r="F21" s="19">
        <v>0</v>
      </c>
      <c r="G21" s="25">
        <v>1341.8130000000001</v>
      </c>
      <c r="H21" s="19">
        <v>210.67840000000001</v>
      </c>
      <c r="I21" s="19">
        <v>6.0684853233397007E-3</v>
      </c>
      <c r="J21" s="19">
        <v>750.94091796875</v>
      </c>
      <c r="K21" s="19">
        <v>243.66999816894531</v>
      </c>
      <c r="L21" s="19">
        <v>122.58000183105469</v>
      </c>
      <c r="AB21" s="6"/>
    </row>
    <row r="22" spans="1:32">
      <c r="D22" s="16">
        <v>43922.5</v>
      </c>
      <c r="E22" s="17">
        <v>0</v>
      </c>
      <c r="F22" s="19">
        <v>0</v>
      </c>
      <c r="G22" s="25">
        <v>1177.4259999999999</v>
      </c>
      <c r="H22" s="19">
        <v>342.4776</v>
      </c>
      <c r="I22" s="19">
        <v>4.9826507456600666E-3</v>
      </c>
      <c r="J22" s="19">
        <v>772.44287109375</v>
      </c>
      <c r="K22" s="19">
        <v>243.83000183105469</v>
      </c>
      <c r="L22" s="19">
        <v>124.41000366210937</v>
      </c>
    </row>
    <row r="23" spans="1:32">
      <c r="A23" s="3"/>
      <c r="B23" s="4"/>
      <c r="D23" s="16">
        <v>43922.541666666664</v>
      </c>
      <c r="E23" s="17">
        <v>0</v>
      </c>
      <c r="F23" s="19">
        <v>0</v>
      </c>
      <c r="G23" s="25">
        <v>1017.127</v>
      </c>
      <c r="H23" s="19">
        <v>418.7835</v>
      </c>
      <c r="I23" s="19">
        <v>4.0689208544790745E-3</v>
      </c>
      <c r="J23" s="19">
        <v>786.19091796875</v>
      </c>
      <c r="K23" s="19">
        <v>243.91999816894531</v>
      </c>
      <c r="L23" s="19">
        <v>125.58000183105469</v>
      </c>
      <c r="AB23" s="6"/>
    </row>
    <row r="24" spans="1:32">
      <c r="A24" s="3"/>
      <c r="B24" s="4"/>
      <c r="D24" s="16">
        <v>43922.583333333336</v>
      </c>
      <c r="E24" s="17">
        <v>0</v>
      </c>
      <c r="F24" s="19">
        <v>0</v>
      </c>
      <c r="G24" s="25">
        <v>866.95669999999996</v>
      </c>
      <c r="H24" s="19">
        <v>470.37990000000002</v>
      </c>
      <c r="I24" s="19">
        <v>3.309877822175622E-3</v>
      </c>
      <c r="J24" s="19">
        <v>792.7701416015625</v>
      </c>
      <c r="K24" s="19">
        <v>243.97000122070312</v>
      </c>
      <c r="L24" s="19">
        <v>126.13999938964844</v>
      </c>
    </row>
    <row r="25" spans="1:32">
      <c r="A25" s="3"/>
      <c r="B25" s="4"/>
      <c r="D25" s="16">
        <v>43922.625</v>
      </c>
      <c r="E25" s="17">
        <v>0</v>
      </c>
      <c r="F25" s="19">
        <v>0</v>
      </c>
      <c r="G25" s="25">
        <v>730.55930000000001</v>
      </c>
      <c r="H25" s="19">
        <v>515.88919999999996</v>
      </c>
      <c r="I25" s="19">
        <v>2.6863384991884232E-3</v>
      </c>
      <c r="J25" s="19">
        <v>793.00469970703125</v>
      </c>
      <c r="K25" s="19">
        <v>243.97000122070312</v>
      </c>
      <c r="L25" s="19">
        <v>126.16000366210937</v>
      </c>
    </row>
    <row r="26" spans="1:32">
      <c r="A26" s="3"/>
      <c r="B26" s="4"/>
      <c r="D26" s="16">
        <v>43922.666666666664</v>
      </c>
      <c r="E26" s="17">
        <v>0</v>
      </c>
      <c r="F26" s="19">
        <v>0</v>
      </c>
      <c r="G26" s="25">
        <v>609.69899999999996</v>
      </c>
      <c r="H26" s="19">
        <v>562.95849999999996</v>
      </c>
      <c r="I26" s="19">
        <v>2.1790810860693455E-3</v>
      </c>
      <c r="J26" s="19">
        <v>787.83465576171875</v>
      </c>
      <c r="K26" s="19">
        <v>243.92999267578125</v>
      </c>
      <c r="L26" s="19">
        <v>125.72000122070312</v>
      </c>
    </row>
    <row r="27" spans="1:32">
      <c r="A27" s="3"/>
      <c r="B27" s="4"/>
      <c r="D27" s="16">
        <v>43922.708333333336</v>
      </c>
      <c r="E27" s="17">
        <v>0</v>
      </c>
      <c r="F27" s="19">
        <v>0</v>
      </c>
      <c r="G27" s="25">
        <v>504.7604</v>
      </c>
      <c r="H27" s="19">
        <v>609.2518</v>
      </c>
      <c r="I27" s="19">
        <v>1.7699424643069506E-3</v>
      </c>
      <c r="J27" s="19">
        <v>778.08197021484375</v>
      </c>
      <c r="K27" s="19">
        <v>243.8699951171875</v>
      </c>
      <c r="L27" s="19">
        <v>124.88999938964844</v>
      </c>
    </row>
    <row r="28" spans="1:32">
      <c r="A28" s="3"/>
      <c r="B28" s="4"/>
      <c r="D28" s="16">
        <v>43922.75</v>
      </c>
      <c r="E28" s="17">
        <v>0</v>
      </c>
      <c r="F28" s="19">
        <v>0</v>
      </c>
      <c r="G28" s="25">
        <v>415.18540000000002</v>
      </c>
      <c r="H28" s="19">
        <v>653.12800000000004</v>
      </c>
      <c r="I28" s="19">
        <v>1.4424258843064308E-3</v>
      </c>
      <c r="J28" s="19">
        <v>764.57061767578125</v>
      </c>
      <c r="K28" s="19">
        <v>243.77000427246094</v>
      </c>
      <c r="L28" s="19">
        <v>123.73999786376953</v>
      </c>
    </row>
    <row r="29" spans="1:32">
      <c r="A29" s="3"/>
      <c r="B29" s="4"/>
      <c r="D29" s="16">
        <v>43922.791666666664</v>
      </c>
      <c r="E29" s="17">
        <v>0</v>
      </c>
      <c r="F29" s="19">
        <v>0</v>
      </c>
      <c r="G29" s="25">
        <v>339.82589999999999</v>
      </c>
      <c r="H29" s="19">
        <v>692.46109999999999</v>
      </c>
      <c r="I29" s="19">
        <v>1.1819920036941767E-3</v>
      </c>
      <c r="J29" s="19">
        <v>748.23651123046875</v>
      </c>
      <c r="K29" s="19">
        <v>243.64999389648437</v>
      </c>
      <c r="L29" s="19">
        <v>122.34999847412109</v>
      </c>
    </row>
    <row r="30" spans="1:32">
      <c r="A30" s="3"/>
      <c r="B30" s="4"/>
      <c r="D30" s="16">
        <v>43922.833333333336</v>
      </c>
      <c r="E30" s="17">
        <v>0</v>
      </c>
      <c r="F30" s="19">
        <v>0</v>
      </c>
      <c r="G30" s="25">
        <v>277.21429999999998</v>
      </c>
      <c r="H30" s="19">
        <v>725.50509999999997</v>
      </c>
      <c r="I30" s="19">
        <v>9.761130204424262E-4</v>
      </c>
      <c r="J30" s="19">
        <v>729.6734619140625</v>
      </c>
      <c r="K30" s="19">
        <v>243.52000427246094</v>
      </c>
      <c r="L30" s="19">
        <v>120.76999664306641</v>
      </c>
    </row>
    <row r="31" spans="1:32">
      <c r="A31" s="3"/>
      <c r="B31" s="4"/>
      <c r="D31" s="16">
        <v>43922.875</v>
      </c>
      <c r="E31" s="17">
        <v>0</v>
      </c>
      <c r="F31" s="19">
        <v>0</v>
      </c>
      <c r="G31" s="25">
        <v>225.75739999999999</v>
      </c>
      <c r="H31" s="19">
        <v>751.41110000000003</v>
      </c>
      <c r="I31" s="19">
        <v>8.1419578054919839E-4</v>
      </c>
      <c r="J31" s="19">
        <v>709.46234130859375</v>
      </c>
      <c r="K31" s="19">
        <v>243.3800048828125</v>
      </c>
      <c r="L31" s="19">
        <v>119.05000305175781</v>
      </c>
    </row>
    <row r="32" spans="1:32">
      <c r="A32" s="3"/>
      <c r="B32" s="4"/>
      <c r="D32" s="16">
        <v>43922.916666666664</v>
      </c>
      <c r="E32" s="17">
        <v>0</v>
      </c>
      <c r="F32" s="19">
        <v>0</v>
      </c>
      <c r="G32" s="25">
        <v>183.8698</v>
      </c>
      <c r="H32" s="19">
        <v>769.97329999999999</v>
      </c>
      <c r="I32" s="19">
        <v>6.8741542054340243E-4</v>
      </c>
      <c r="J32" s="19">
        <v>688.0765380859375</v>
      </c>
      <c r="K32" s="19">
        <v>243.22999572753906</v>
      </c>
      <c r="L32" s="19">
        <v>117.23000335693359</v>
      </c>
    </row>
    <row r="33" spans="1:12">
      <c r="A33" s="3"/>
      <c r="B33" s="4"/>
      <c r="D33" s="16">
        <v>43922.958333333336</v>
      </c>
      <c r="E33" s="17">
        <v>0</v>
      </c>
      <c r="F33" s="19">
        <v>0</v>
      </c>
      <c r="G33" s="25">
        <v>150.05779999999999</v>
      </c>
      <c r="H33" s="19">
        <v>781.42380000000003</v>
      </c>
      <c r="I33" s="19">
        <v>5.8851647190749645E-4</v>
      </c>
      <c r="J33" s="19">
        <v>665.9871826171875</v>
      </c>
      <c r="K33" s="19">
        <v>243.07000732421875</v>
      </c>
      <c r="L33" s="19">
        <v>115.34999847412109</v>
      </c>
    </row>
    <row r="34" spans="1:12">
      <c r="A34" s="3"/>
      <c r="B34" s="4"/>
      <c r="D34" s="16">
        <v>43923</v>
      </c>
      <c r="E34" s="17">
        <v>0</v>
      </c>
      <c r="F34" s="19">
        <v>0</v>
      </c>
      <c r="G34" s="25">
        <v>122.9665</v>
      </c>
      <c r="H34" s="19">
        <v>786.31129999999996</v>
      </c>
      <c r="I34" s="19">
        <v>5.1159702707082033E-4</v>
      </c>
      <c r="J34" s="19">
        <v>644.5167236328125</v>
      </c>
      <c r="K34" s="19">
        <v>242.91000366210937</v>
      </c>
      <c r="L34" s="19">
        <v>113.44000244140625</v>
      </c>
    </row>
    <row r="35" spans="1:12">
      <c r="A35" s="3"/>
      <c r="D35" s="16">
        <v>43923.041666666664</v>
      </c>
      <c r="E35" s="17">
        <v>2</v>
      </c>
      <c r="F35" s="19">
        <v>0.79753240000000003</v>
      </c>
      <c r="G35" s="25">
        <v>101.6936</v>
      </c>
      <c r="H35" s="19">
        <v>785.36</v>
      </c>
      <c r="I35" s="19">
        <v>4.5190379023551941E-4</v>
      </c>
      <c r="J35" s="19">
        <v>623.7161865234375</v>
      </c>
      <c r="K35" s="19">
        <v>242.75</v>
      </c>
      <c r="L35" s="19">
        <v>111.51999664306641</v>
      </c>
    </row>
    <row r="36" spans="1:12">
      <c r="D36" s="16">
        <v>43923.083333333336</v>
      </c>
      <c r="E36" s="17">
        <v>0.5</v>
      </c>
      <c r="F36" s="19">
        <v>0.19801669999999999</v>
      </c>
      <c r="G36" s="25">
        <v>85.496139999999997</v>
      </c>
      <c r="H36" s="19">
        <v>779.3433</v>
      </c>
      <c r="I36" s="19">
        <v>4.0563911898061633E-4</v>
      </c>
      <c r="J36" s="19">
        <v>603.02484130859375</v>
      </c>
      <c r="K36" s="19">
        <v>242.58999633789062</v>
      </c>
      <c r="L36" s="19">
        <v>109.61000061035156</v>
      </c>
    </row>
    <row r="37" spans="1:12">
      <c r="D37" s="16">
        <v>43923.125</v>
      </c>
      <c r="E37" s="17">
        <v>0.4</v>
      </c>
      <c r="F37" s="19">
        <v>0.15834000000000001</v>
      </c>
      <c r="G37" s="25">
        <v>73.607439999999997</v>
      </c>
      <c r="H37" s="19">
        <v>769.07929999999999</v>
      </c>
      <c r="I37" s="19">
        <v>3.6979245487600565E-4</v>
      </c>
      <c r="J37" s="19">
        <v>582.6588134765625</v>
      </c>
      <c r="K37" s="19">
        <v>242.44000244140625</v>
      </c>
      <c r="L37" s="19">
        <v>107.73000335693359</v>
      </c>
    </row>
    <row r="38" spans="1:12">
      <c r="D38" s="16">
        <v>43923.166666666664</v>
      </c>
      <c r="E38" s="17">
        <v>0.6</v>
      </c>
      <c r="F38" s="19">
        <v>0.2377301</v>
      </c>
      <c r="G38" s="25">
        <v>65.08081</v>
      </c>
      <c r="H38" s="19">
        <v>755.38559999999995</v>
      </c>
      <c r="I38" s="19">
        <v>3.4199230140075088E-4</v>
      </c>
      <c r="J38" s="19">
        <v>562.6160888671875</v>
      </c>
      <c r="K38" s="19">
        <v>242.27999877929687</v>
      </c>
      <c r="L38" s="19">
        <v>105.87999725341797</v>
      </c>
    </row>
    <row r="39" spans="1:12">
      <c r="D39" s="16">
        <v>43923.208333333336</v>
      </c>
      <c r="E39" s="17">
        <v>0.6</v>
      </c>
      <c r="F39" s="19">
        <v>0.2377301</v>
      </c>
      <c r="G39" s="25">
        <v>59.082239999999999</v>
      </c>
      <c r="H39" s="19">
        <v>738.96510000000001</v>
      </c>
      <c r="I39" s="19">
        <v>3.2038232893683016E-4</v>
      </c>
      <c r="J39" s="19">
        <v>543.1168212890625</v>
      </c>
      <c r="K39" s="19">
        <v>242.1300048828125</v>
      </c>
      <c r="L39" s="19">
        <v>104.08000183105469</v>
      </c>
    </row>
    <row r="40" spans="1:12">
      <c r="D40" s="16">
        <v>43923.25</v>
      </c>
      <c r="E40" s="17">
        <v>0.6</v>
      </c>
      <c r="F40" s="19">
        <v>0.2377301</v>
      </c>
      <c r="G40" s="25">
        <v>54.953339999999997</v>
      </c>
      <c r="H40" s="19">
        <v>720.44090000000006</v>
      </c>
      <c r="I40" s="19">
        <v>3.0351692112162709E-4</v>
      </c>
      <c r="J40" s="19">
        <v>525.06732177734375</v>
      </c>
      <c r="K40" s="19">
        <v>241.99000549316406</v>
      </c>
      <c r="L40" s="19">
        <v>102.33000183105469</v>
      </c>
    </row>
    <row r="41" spans="1:12">
      <c r="D41" s="16">
        <v>43923.291666666664</v>
      </c>
      <c r="E41" s="17">
        <v>0.2</v>
      </c>
      <c r="F41" s="19">
        <v>7.90965E-2</v>
      </c>
      <c r="G41" s="25">
        <v>52.121519999999997</v>
      </c>
      <c r="H41" s="19">
        <v>700.36080000000004</v>
      </c>
      <c r="I41" s="19">
        <v>2.9027616255916655E-4</v>
      </c>
      <c r="J41" s="19">
        <v>515.7369384765625</v>
      </c>
      <c r="K41" s="19">
        <v>241.91000366210937</v>
      </c>
      <c r="L41" s="19">
        <v>100.62999725341797</v>
      </c>
    </row>
    <row r="42" spans="1:12">
      <c r="D42" s="16">
        <v>43923.333333333336</v>
      </c>
      <c r="E42" s="17">
        <v>0.6</v>
      </c>
      <c r="F42" s="19">
        <v>0.2377301</v>
      </c>
      <c r="G42" s="25">
        <v>50.150750000000002</v>
      </c>
      <c r="H42" s="19">
        <v>679.38329999999996</v>
      </c>
      <c r="I42" s="19">
        <v>2.7979619335383177E-4</v>
      </c>
      <c r="J42" s="19">
        <v>506.57040405273437</v>
      </c>
      <c r="K42" s="19">
        <v>241.83999633789063</v>
      </c>
      <c r="L42" s="19">
        <v>98.959999084472656</v>
      </c>
    </row>
    <row r="43" spans="1:12">
      <c r="D43" s="16">
        <v>43923.375</v>
      </c>
      <c r="E43" s="17">
        <v>2.6</v>
      </c>
      <c r="F43" s="19">
        <v>1.039609</v>
      </c>
      <c r="G43" s="25">
        <v>49.040579999999999</v>
      </c>
      <c r="H43" s="19">
        <v>658.27650000000006</v>
      </c>
      <c r="I43" s="19">
        <v>2.714135916903615E-4</v>
      </c>
      <c r="J43" s="19">
        <v>497.5155029296875</v>
      </c>
      <c r="K43" s="19">
        <v>241.75999450683594</v>
      </c>
      <c r="L43" s="19">
        <v>97.30999755859375</v>
      </c>
    </row>
    <row r="44" spans="1:12">
      <c r="D44" s="16">
        <v>43923.416666666664</v>
      </c>
      <c r="E44" s="17">
        <v>2.8</v>
      </c>
      <c r="F44" s="19">
        <v>1.120587</v>
      </c>
      <c r="G44" s="25">
        <v>49.181069999999998</v>
      </c>
      <c r="H44" s="19">
        <v>637.34230000000002</v>
      </c>
      <c r="I44" s="19">
        <v>2.6462067035026848E-4</v>
      </c>
      <c r="J44" s="19">
        <v>488.678466796875</v>
      </c>
      <c r="K44" s="19">
        <v>241.67999267578125</v>
      </c>
      <c r="L44" s="19">
        <v>95.699996948242188</v>
      </c>
    </row>
    <row r="45" spans="1:12">
      <c r="D45" s="16">
        <v>43923.458333333336</v>
      </c>
      <c r="E45" s="17">
        <v>1.8</v>
      </c>
      <c r="F45" s="19">
        <v>0.71712690000000001</v>
      </c>
      <c r="G45" s="25">
        <v>50.880459999999999</v>
      </c>
      <c r="H45" s="19">
        <v>616.58680000000004</v>
      </c>
      <c r="I45" s="19">
        <v>2.5903040659613907E-4</v>
      </c>
      <c r="J45" s="19">
        <v>480.007080078125</v>
      </c>
      <c r="K45" s="19">
        <v>241.61000061035156</v>
      </c>
      <c r="L45" s="19">
        <v>94.120002746582031</v>
      </c>
    </row>
    <row r="46" spans="1:12">
      <c r="D46" s="16">
        <v>43923.5</v>
      </c>
      <c r="E46" s="17">
        <v>2.2999999999999998</v>
      </c>
      <c r="F46" s="19">
        <v>0.91840980000000005</v>
      </c>
      <c r="G46" s="25">
        <v>54.082999999999998</v>
      </c>
      <c r="H46" s="19">
        <v>596.08309999999994</v>
      </c>
      <c r="I46" s="19">
        <v>2.5434870622120798E-4</v>
      </c>
      <c r="J46" s="19">
        <v>286.86737060546875</v>
      </c>
      <c r="K46" s="19">
        <v>241.53999328613281</v>
      </c>
      <c r="L46" s="19">
        <v>92.580001831054688</v>
      </c>
    </row>
    <row r="47" spans="1:12">
      <c r="D47" s="16">
        <v>43923.541666666664</v>
      </c>
      <c r="E47" s="17">
        <v>2.8</v>
      </c>
      <c r="F47" s="19">
        <v>1.120587</v>
      </c>
      <c r="G47" s="25">
        <v>58.539630000000002</v>
      </c>
      <c r="H47" s="19">
        <v>575.90560000000005</v>
      </c>
      <c r="I47" s="19">
        <v>2.5035269209183753E-4</v>
      </c>
      <c r="J47" s="19">
        <v>61.145641326904297</v>
      </c>
      <c r="K47" s="19">
        <v>241.5</v>
      </c>
      <c r="L47" s="19">
        <v>91.75</v>
      </c>
    </row>
    <row r="48" spans="1:12">
      <c r="D48" s="16">
        <v>43923.583333333336</v>
      </c>
      <c r="E48" s="17">
        <v>0.9</v>
      </c>
      <c r="F48" s="19">
        <v>0.35708899999999999</v>
      </c>
      <c r="G48" s="25">
        <v>63.751649999999998</v>
      </c>
      <c r="H48" s="19">
        <v>556.32190000000003</v>
      </c>
      <c r="I48" s="19">
        <v>2.4687408586032689E-4</v>
      </c>
      <c r="J48" s="19">
        <v>66.320114135742188</v>
      </c>
      <c r="K48" s="19">
        <v>241.5</v>
      </c>
      <c r="L48" s="19">
        <v>91.75</v>
      </c>
    </row>
    <row r="49" spans="4:12">
      <c r="D49" s="16">
        <v>43923.625</v>
      </c>
      <c r="E49" s="17">
        <v>0.1</v>
      </c>
      <c r="F49" s="19">
        <v>3.9529809999999999E-2</v>
      </c>
      <c r="G49" s="25">
        <v>68.888570000000001</v>
      </c>
      <c r="H49" s="19">
        <v>539.03440000000001</v>
      </c>
      <c r="I49" s="19">
        <v>2.4378603848163038E-4</v>
      </c>
      <c r="J49" s="19">
        <v>70.973175048828125</v>
      </c>
      <c r="K49" s="19">
        <v>241.5</v>
      </c>
      <c r="L49" s="19">
        <v>91.75</v>
      </c>
    </row>
    <row r="50" spans="4:12">
      <c r="D50" s="16">
        <v>43923.666666666664</v>
      </c>
      <c r="E50" s="17">
        <v>0.6</v>
      </c>
      <c r="F50" s="19">
        <v>0.2377301</v>
      </c>
      <c r="G50" s="25">
        <v>73.057789999999997</v>
      </c>
      <c r="H50" s="19">
        <v>525.75980000000004</v>
      </c>
      <c r="I50" s="19">
        <v>2.4099323491100222E-4</v>
      </c>
      <c r="J50" s="19">
        <v>74.36920166015625</v>
      </c>
      <c r="K50" s="19">
        <v>241.5</v>
      </c>
      <c r="L50" s="19">
        <v>91.75</v>
      </c>
    </row>
    <row r="51" spans="4:12">
      <c r="D51" s="16">
        <v>43923.708333333336</v>
      </c>
      <c r="E51" s="17">
        <v>0.2</v>
      </c>
      <c r="F51" s="19">
        <v>7.90965E-2</v>
      </c>
      <c r="G51" s="25">
        <v>75.680610000000001</v>
      </c>
      <c r="H51" s="19">
        <v>514.56169999999997</v>
      </c>
      <c r="I51" s="19">
        <v>2.3842421069275588E-4</v>
      </c>
      <c r="J51" s="19">
        <v>76.197029113769531</v>
      </c>
      <c r="K51" s="19">
        <v>241.5</v>
      </c>
      <c r="L51" s="19">
        <v>91.75</v>
      </c>
    </row>
    <row r="52" spans="4:12">
      <c r="D52" s="16">
        <v>43923.75</v>
      </c>
      <c r="E52" s="17">
        <v>1.1000000000000001</v>
      </c>
      <c r="F52" s="19">
        <v>0.4368438</v>
      </c>
      <c r="G52" s="25">
        <v>76.713459999999998</v>
      </c>
      <c r="H52" s="19">
        <v>504.47500000000002</v>
      </c>
      <c r="I52" s="19">
        <v>2.3602545843459666E-4</v>
      </c>
      <c r="J52" s="19">
        <v>76.661231994628906</v>
      </c>
      <c r="K52" s="19">
        <v>241.5</v>
      </c>
      <c r="L52" s="19">
        <v>91.75</v>
      </c>
    </row>
    <row r="53" spans="4:12">
      <c r="D53" s="16">
        <v>43923.791666666664</v>
      </c>
      <c r="E53" s="17">
        <v>2.1</v>
      </c>
      <c r="F53" s="19">
        <v>0.83778900000000001</v>
      </c>
      <c r="G53" s="25">
        <v>76.608999999999995</v>
      </c>
      <c r="H53" s="19">
        <v>495.04300000000001</v>
      </c>
      <c r="I53" s="19">
        <v>2.3375704768113792E-4</v>
      </c>
      <c r="J53" s="19">
        <v>76.222900390625</v>
      </c>
      <c r="K53" s="19">
        <v>241.5</v>
      </c>
      <c r="L53" s="19">
        <v>91.75</v>
      </c>
    </row>
    <row r="54" spans="4:12">
      <c r="D54" s="16">
        <v>43923.833333333336</v>
      </c>
      <c r="E54" s="17">
        <v>2.9</v>
      </c>
      <c r="F54" s="19">
        <v>1.1611290000000001</v>
      </c>
      <c r="G54" s="25">
        <v>75.836799999999997</v>
      </c>
      <c r="H54" s="19">
        <v>453.6653</v>
      </c>
      <c r="I54" s="19">
        <v>2.3158917610999197E-4</v>
      </c>
      <c r="J54" s="19">
        <v>75.3734130859375</v>
      </c>
      <c r="K54" s="19">
        <v>241.5</v>
      </c>
      <c r="L54" s="19">
        <v>91.75</v>
      </c>
    </row>
    <row r="55" spans="4:12">
      <c r="D55" s="16">
        <v>43923.875</v>
      </c>
      <c r="E55" s="17">
        <v>0.6</v>
      </c>
      <c r="F55" s="19">
        <v>0.2377301</v>
      </c>
      <c r="G55" s="25">
        <v>74.910030000000006</v>
      </c>
      <c r="H55" s="19">
        <v>330.59210000000002</v>
      </c>
      <c r="I55" s="19">
        <v>2.29499681154266E-4</v>
      </c>
      <c r="J55" s="19">
        <v>74.353034973144531</v>
      </c>
      <c r="K55" s="19">
        <v>241.5</v>
      </c>
      <c r="L55" s="19">
        <v>91.75</v>
      </c>
    </row>
    <row r="56" spans="4:12">
      <c r="D56" s="16">
        <v>43923.916666666664</v>
      </c>
      <c r="E56" s="17">
        <v>0.6</v>
      </c>
      <c r="F56" s="19">
        <v>0.2377301</v>
      </c>
      <c r="G56" s="25">
        <v>73.796049999999994</v>
      </c>
      <c r="H56" s="19">
        <v>196.58709999999999</v>
      </c>
      <c r="I56" s="19">
        <v>2.2747207549400628E-4</v>
      </c>
      <c r="J56" s="19">
        <v>72.696968078613281</v>
      </c>
      <c r="K56" s="19">
        <v>241.5</v>
      </c>
      <c r="L56" s="19">
        <v>91.75</v>
      </c>
    </row>
    <row r="57" spans="4:12">
      <c r="D57" s="16">
        <v>43923.958333333336</v>
      </c>
      <c r="E57" s="17">
        <v>0.8</v>
      </c>
      <c r="F57" s="19">
        <v>0.3172663</v>
      </c>
      <c r="G57" s="25">
        <v>71.597890000000007</v>
      </c>
      <c r="H57" s="19">
        <v>132.17760000000001</v>
      </c>
      <c r="I57" s="19">
        <v>2.2549412096850574E-4</v>
      </c>
      <c r="J57" s="19">
        <v>69.092582702636719</v>
      </c>
      <c r="K57" s="19">
        <v>241.5</v>
      </c>
      <c r="L57" s="19">
        <v>91.75</v>
      </c>
    </row>
    <row r="58" spans="4:12">
      <c r="D58" s="16">
        <v>43924</v>
      </c>
      <c r="E58" s="17">
        <v>2.4</v>
      </c>
      <c r="F58" s="19">
        <v>0.95877389999999996</v>
      </c>
      <c r="G58" s="25">
        <v>66.587280000000007</v>
      </c>
      <c r="H58" s="19">
        <v>102.12730000000001</v>
      </c>
      <c r="I58" s="19">
        <v>2.2355670807883143E-4</v>
      </c>
      <c r="J58" s="19">
        <v>64.745246887207031</v>
      </c>
      <c r="K58" s="19">
        <v>241.5</v>
      </c>
      <c r="L58" s="19">
        <v>91.75</v>
      </c>
    </row>
    <row r="59" spans="4:12">
      <c r="D59" s="16">
        <v>43924.041666666664</v>
      </c>
      <c r="E59" s="17">
        <v>2.4</v>
      </c>
      <c r="F59" s="19">
        <v>0.95877389999999996</v>
      </c>
      <c r="G59" s="25">
        <v>62.903210000000001</v>
      </c>
      <c r="H59" s="19">
        <v>88.548730000000006</v>
      </c>
      <c r="I59" s="19">
        <v>2.2165314294397831E-4</v>
      </c>
      <c r="J59" s="19">
        <v>61.617786407470703</v>
      </c>
      <c r="K59" s="19">
        <v>241.5</v>
      </c>
      <c r="L59" s="19">
        <v>91.75</v>
      </c>
    </row>
    <row r="60" spans="4:12">
      <c r="D60" s="16">
        <v>43924.083333333336</v>
      </c>
      <c r="E60" s="17">
        <v>1.9</v>
      </c>
      <c r="F60" s="19">
        <v>0.75731170000000003</v>
      </c>
      <c r="G60" s="25">
        <v>60.332369999999997</v>
      </c>
      <c r="H60" s="19">
        <v>82.445120000000003</v>
      </c>
      <c r="I60" s="19">
        <v>2.1977836149744689E-4</v>
      </c>
      <c r="J60" s="19">
        <v>59.618453979492188</v>
      </c>
      <c r="K60" s="19">
        <v>241.5</v>
      </c>
      <c r="L60" s="19">
        <v>91.75</v>
      </c>
    </row>
    <row r="61" spans="4:12">
      <c r="D61" s="16">
        <v>43924.125</v>
      </c>
      <c r="E61" s="17">
        <v>1.6</v>
      </c>
      <c r="F61" s="19">
        <v>0.63686540000000003</v>
      </c>
      <c r="G61" s="25">
        <v>58.904539999999997</v>
      </c>
      <c r="H61" s="19">
        <v>79.471850000000003</v>
      </c>
      <c r="I61" s="19">
        <v>2.1792868210468441E-4</v>
      </c>
      <c r="J61" s="19">
        <v>58.614284515380859</v>
      </c>
      <c r="K61" s="19">
        <v>241.5</v>
      </c>
      <c r="L61" s="19">
        <v>91.75</v>
      </c>
    </row>
    <row r="62" spans="4:12">
      <c r="D62" s="16">
        <v>43924.166666666664</v>
      </c>
      <c r="E62" s="17">
        <v>1.1000000000000001</v>
      </c>
      <c r="F62" s="19">
        <v>0.4368438</v>
      </c>
      <c r="G62" s="25">
        <v>58.32403</v>
      </c>
      <c r="H62" s="19">
        <v>77.695760000000007</v>
      </c>
      <c r="I62" s="19">
        <v>2.1610133990179747E-4</v>
      </c>
      <c r="J62" s="19">
        <v>59.055759429931641</v>
      </c>
      <c r="K62" s="19">
        <v>241.5</v>
      </c>
      <c r="L62" s="19">
        <v>91.75</v>
      </c>
    </row>
    <row r="63" spans="4:12">
      <c r="D63" s="16">
        <v>43924.208333333336</v>
      </c>
      <c r="E63" s="17">
        <v>1.2</v>
      </c>
      <c r="F63" s="19">
        <v>0.47677570000000002</v>
      </c>
      <c r="G63" s="25">
        <v>59.787489999999998</v>
      </c>
      <c r="H63" s="19">
        <v>76.353679999999997</v>
      </c>
      <c r="I63" s="19">
        <v>2.1429426851682365E-4</v>
      </c>
      <c r="J63" s="19">
        <v>60.422248840332031</v>
      </c>
      <c r="K63" s="19">
        <v>241.5</v>
      </c>
      <c r="L63" s="19">
        <v>91.75</v>
      </c>
    </row>
    <row r="64" spans="4:12">
      <c r="D64" s="16">
        <v>43924.25</v>
      </c>
      <c r="E64" s="17">
        <v>2.1</v>
      </c>
      <c r="F64" s="19">
        <v>0.83778900000000001</v>
      </c>
      <c r="G64" s="25">
        <v>61.057009999999998</v>
      </c>
      <c r="H64" s="19">
        <v>75.061279999999996</v>
      </c>
      <c r="I64" s="19">
        <v>2.1250591089483351E-4</v>
      </c>
      <c r="J64" s="19">
        <v>61.596614837646484</v>
      </c>
      <c r="K64" s="19">
        <v>241.5</v>
      </c>
      <c r="L64" s="19">
        <v>91.75</v>
      </c>
    </row>
    <row r="65" spans="4:12">
      <c r="D65" s="16">
        <v>43924.291666666664</v>
      </c>
      <c r="E65" s="17">
        <v>1.5</v>
      </c>
      <c r="F65" s="19">
        <v>0.59678869999999995</v>
      </c>
      <c r="G65" s="25">
        <v>62.136220000000002</v>
      </c>
      <c r="H65" s="19">
        <v>73.245369999999994</v>
      </c>
      <c r="I65" s="19">
        <v>2.1073513198643923E-4</v>
      </c>
      <c r="J65" s="19">
        <v>62.567508697509766</v>
      </c>
      <c r="K65" s="19">
        <v>241.5</v>
      </c>
      <c r="L65" s="19">
        <v>91.75</v>
      </c>
    </row>
    <row r="66" spans="4:12">
      <c r="D66" s="16">
        <v>43924.333333333336</v>
      </c>
      <c r="E66" s="17">
        <v>0.9</v>
      </c>
      <c r="F66" s="19">
        <v>0.35708899999999999</v>
      </c>
      <c r="G66" s="25">
        <v>62.99879</v>
      </c>
      <c r="H66" s="19">
        <v>70.403800000000004</v>
      </c>
      <c r="I66" s="19">
        <v>2.0898102957289666E-4</v>
      </c>
      <c r="J66" s="19">
        <v>63.215606689453125</v>
      </c>
      <c r="K66" s="19">
        <v>241.5</v>
      </c>
      <c r="L66" s="19">
        <v>91.75</v>
      </c>
    </row>
    <row r="67" spans="4:12">
      <c r="D67" s="16">
        <v>43924.375</v>
      </c>
      <c r="E67" s="17">
        <v>0.6</v>
      </c>
      <c r="F67" s="19">
        <v>0.2377301</v>
      </c>
      <c r="G67" s="25">
        <v>63.43242</v>
      </c>
      <c r="H67" s="19">
        <v>67.022090000000006</v>
      </c>
      <c r="I67" s="19">
        <v>2.0724293426610529E-4</v>
      </c>
      <c r="J67" s="19">
        <v>63.283500671386719</v>
      </c>
      <c r="K67" s="19">
        <v>241.5</v>
      </c>
      <c r="L67" s="19">
        <v>91.75</v>
      </c>
    </row>
    <row r="68" spans="4:12">
      <c r="D68" s="16">
        <v>43924.416666666664</v>
      </c>
      <c r="E68" s="17">
        <v>0.4</v>
      </c>
      <c r="F68" s="19">
        <v>0.15834000000000001</v>
      </c>
      <c r="G68" s="25">
        <v>63.13458</v>
      </c>
      <c r="H68" s="19">
        <v>63.965409999999999</v>
      </c>
      <c r="I68" s="19">
        <v>2.0552029309328645E-4</v>
      </c>
      <c r="J68" s="19">
        <v>62.560684204101563</v>
      </c>
      <c r="K68" s="19">
        <v>241.5</v>
      </c>
      <c r="L68" s="19">
        <v>91.75</v>
      </c>
    </row>
    <row r="69" spans="4:12">
      <c r="D69" s="16">
        <v>43924.458333333336</v>
      </c>
      <c r="E69" s="17">
        <v>0.7</v>
      </c>
      <c r="F69" s="19">
        <v>0.2774799</v>
      </c>
      <c r="G69" s="25">
        <v>61.986789999999999</v>
      </c>
      <c r="H69" s="19">
        <v>61.612549999999999</v>
      </c>
      <c r="I69" s="19">
        <v>2.0381271315272897E-4</v>
      </c>
      <c r="J69" s="19">
        <v>61.067226409912109</v>
      </c>
      <c r="K69" s="19">
        <v>241.5</v>
      </c>
      <c r="L69" s="19">
        <v>91.75</v>
      </c>
    </row>
    <row r="70" spans="4:12">
      <c r="D70" s="16">
        <v>43924.5</v>
      </c>
      <c r="E70" s="17">
        <v>1.3</v>
      </c>
      <c r="F70" s="19">
        <v>0.51674379999999998</v>
      </c>
      <c r="G70" s="25">
        <v>60.147660000000002</v>
      </c>
      <c r="H70" s="19">
        <v>60.188319999999997</v>
      </c>
      <c r="I70" s="19">
        <v>2.021198597503826E-4</v>
      </c>
      <c r="J70" s="19">
        <v>59.078342437744141</v>
      </c>
      <c r="K70" s="19">
        <v>241.5</v>
      </c>
      <c r="L70" s="19">
        <v>91.75</v>
      </c>
    </row>
    <row r="71" spans="4:12">
      <c r="D71" s="16">
        <v>43924.541666666664</v>
      </c>
      <c r="E71" s="17">
        <v>1.5</v>
      </c>
      <c r="F71" s="19">
        <v>0.59678869999999995</v>
      </c>
      <c r="G71" s="25">
        <v>58.00902</v>
      </c>
      <c r="H71" s="19">
        <v>59.860340000000001</v>
      </c>
      <c r="I71" s="19">
        <v>2.0044147095177323E-4</v>
      </c>
      <c r="J71" s="19">
        <v>56.964515686035156</v>
      </c>
      <c r="K71" s="19">
        <v>241.5</v>
      </c>
      <c r="L71" s="19">
        <v>91.75</v>
      </c>
    </row>
    <row r="72" spans="4:12">
      <c r="D72" s="16">
        <v>43924.583333333336</v>
      </c>
      <c r="E72" s="17">
        <v>0.9</v>
      </c>
      <c r="F72" s="19">
        <v>0.35708899999999999</v>
      </c>
      <c r="G72" s="25">
        <v>55.920009999999998</v>
      </c>
      <c r="H72" s="19">
        <v>60.347110000000001</v>
      </c>
      <c r="I72" s="19">
        <v>1.9877729937434196E-4</v>
      </c>
      <c r="J72" s="19">
        <v>54.934440612792969</v>
      </c>
      <c r="K72" s="19">
        <v>241.5</v>
      </c>
      <c r="L72" s="19">
        <v>91.75</v>
      </c>
    </row>
    <row r="73" spans="4:12">
      <c r="D73" s="16">
        <v>43924.625</v>
      </c>
      <c r="E73" s="17">
        <v>0.3</v>
      </c>
      <c r="F73" s="19">
        <v>0.1186999</v>
      </c>
      <c r="G73" s="25">
        <v>53.948869999999999</v>
      </c>
      <c r="H73" s="19">
        <v>61.142479999999999</v>
      </c>
      <c r="I73" s="19">
        <v>1.9712714129127562E-4</v>
      </c>
      <c r="J73" s="19">
        <v>52.918907165527344</v>
      </c>
      <c r="K73" s="19">
        <v>241.5</v>
      </c>
      <c r="L73" s="19">
        <v>91.75</v>
      </c>
    </row>
    <row r="74" spans="4:12">
      <c r="D74" s="16">
        <v>43924.666666666664</v>
      </c>
      <c r="E74" s="17">
        <v>0</v>
      </c>
      <c r="F74" s="19">
        <v>0</v>
      </c>
      <c r="G74" s="25">
        <v>51.888939999999998</v>
      </c>
      <c r="H74" s="19">
        <v>61.969169999999998</v>
      </c>
      <c r="I74" s="19">
        <v>1.9549083663150668E-4</v>
      </c>
      <c r="J74" s="19">
        <v>50.682708740234375</v>
      </c>
      <c r="K74" s="19">
        <v>241.5</v>
      </c>
      <c r="L74" s="19">
        <v>91.75</v>
      </c>
    </row>
    <row r="75" spans="4:12">
      <c r="D75" s="16">
        <v>43924.708333333336</v>
      </c>
      <c r="E75" s="17">
        <v>0</v>
      </c>
      <c r="F75" s="19">
        <v>0</v>
      </c>
      <c r="G75" s="25">
        <v>49.476480000000002</v>
      </c>
      <c r="H75" s="19">
        <v>62.604759999999999</v>
      </c>
      <c r="I75" s="19">
        <v>1.9386821077205241E-4</v>
      </c>
      <c r="J75" s="19">
        <v>48.019123077392578</v>
      </c>
      <c r="K75" s="19">
        <v>241.5</v>
      </c>
      <c r="L75" s="19">
        <v>91.75</v>
      </c>
    </row>
    <row r="76" spans="4:12">
      <c r="D76" s="16">
        <v>43924.75</v>
      </c>
      <c r="E76" s="17">
        <v>0</v>
      </c>
      <c r="F76" s="19">
        <v>0</v>
      </c>
      <c r="G76" s="25">
        <v>46.56176</v>
      </c>
      <c r="H76" s="19">
        <v>62.817540000000001</v>
      </c>
      <c r="I76" s="19">
        <v>1.9225914729759097E-4</v>
      </c>
      <c r="J76" s="19">
        <v>44.856826782226563</v>
      </c>
      <c r="K76" s="19">
        <v>241.5</v>
      </c>
      <c r="L76" s="19">
        <v>91.75</v>
      </c>
    </row>
    <row r="77" spans="4:12">
      <c r="D77" s="16">
        <v>43924.791666666664</v>
      </c>
      <c r="E77" s="17">
        <v>0</v>
      </c>
      <c r="F77" s="19">
        <v>0</v>
      </c>
      <c r="G77" s="25">
        <v>43.151890000000002</v>
      </c>
      <c r="H77" s="19">
        <v>62.426819999999999</v>
      </c>
      <c r="I77" s="19">
        <v>1.9066348613705486E-4</v>
      </c>
      <c r="J77" s="19">
        <v>41.257572174072266</v>
      </c>
      <c r="K77" s="19">
        <v>241.5</v>
      </c>
      <c r="L77" s="19">
        <v>91.75</v>
      </c>
    </row>
    <row r="78" spans="4:12">
      <c r="D78" s="16">
        <v>43924.833333333336</v>
      </c>
      <c r="E78" s="17">
        <v>0</v>
      </c>
      <c r="F78" s="19">
        <v>0</v>
      </c>
      <c r="G78" s="25">
        <v>39.363259999999997</v>
      </c>
      <c r="H78" s="19">
        <v>61.397150000000003</v>
      </c>
      <c r="I78" s="19">
        <v>1.8908111087512225E-4</v>
      </c>
      <c r="J78" s="19">
        <v>37.363494873046875</v>
      </c>
      <c r="K78" s="19">
        <v>241.5</v>
      </c>
      <c r="L78" s="19">
        <v>91.75</v>
      </c>
    </row>
    <row r="79" spans="4:12">
      <c r="D79" s="16">
        <v>43924.875</v>
      </c>
      <c r="E79" s="17">
        <v>0</v>
      </c>
      <c r="F79" s="19">
        <v>0</v>
      </c>
      <c r="G79" s="25">
        <v>35.363720000000001</v>
      </c>
      <c r="H79" s="19">
        <v>59.86533</v>
      </c>
      <c r="I79" s="19">
        <v>1.8751189054455608E-4</v>
      </c>
      <c r="J79" s="19">
        <v>33.345508575439453</v>
      </c>
      <c r="K79" s="19">
        <v>241.5</v>
      </c>
      <c r="L79" s="19">
        <v>91.75</v>
      </c>
    </row>
    <row r="80" spans="4:12">
      <c r="D80" s="16">
        <v>43924.916666666664</v>
      </c>
      <c r="E80" s="17">
        <v>0</v>
      </c>
      <c r="F80" s="19">
        <v>0</v>
      </c>
      <c r="G80" s="25">
        <v>31.327290000000001</v>
      </c>
      <c r="H80" s="19">
        <v>58.056780000000003</v>
      </c>
      <c r="I80" s="19">
        <v>1.8595572328194976E-4</v>
      </c>
      <c r="J80" s="19">
        <v>29.366689682006836</v>
      </c>
      <c r="K80" s="19">
        <v>241.5</v>
      </c>
      <c r="L80" s="19">
        <v>91.75</v>
      </c>
    </row>
    <row r="81" spans="4:12">
      <c r="D81" s="16">
        <v>43924.958333333336</v>
      </c>
      <c r="E81" s="17">
        <v>0</v>
      </c>
      <c r="F81" s="19">
        <v>0</v>
      </c>
      <c r="G81" s="25">
        <v>27.406089999999999</v>
      </c>
      <c r="H81" s="19">
        <v>56.139879999999998</v>
      </c>
      <c r="I81" s="19">
        <v>1.8441247812006623E-4</v>
      </c>
      <c r="J81" s="19">
        <v>25.56157112121582</v>
      </c>
      <c r="K81" s="19">
        <v>241.5</v>
      </c>
      <c r="L81" s="19">
        <v>91.75</v>
      </c>
    </row>
    <row r="82" spans="4:12">
      <c r="D82" s="16">
        <v>43925</v>
      </c>
      <c r="E82" s="17">
        <v>0</v>
      </c>
      <c r="F82" s="19">
        <v>0</v>
      </c>
      <c r="G82" s="25">
        <v>23.71705</v>
      </c>
      <c r="H82" s="19">
        <v>54.13494</v>
      </c>
      <c r="I82" s="19">
        <v>1.8288205319549888E-4</v>
      </c>
      <c r="J82" s="19">
        <v>22.028026580810547</v>
      </c>
      <c r="K82" s="19">
        <v>241.5</v>
      </c>
      <c r="L82" s="19">
        <v>91.75</v>
      </c>
    </row>
    <row r="83" spans="4:12">
      <c r="D83" s="16">
        <v>43925.041666666664</v>
      </c>
      <c r="E83" s="17">
        <v>0</v>
      </c>
      <c r="F83" s="19">
        <v>0</v>
      </c>
      <c r="G83" s="25">
        <v>20.338999999999999</v>
      </c>
      <c r="H83" s="19">
        <v>51.939320000000002</v>
      </c>
      <c r="I83" s="19">
        <v>1.8136434664484113E-4</v>
      </c>
      <c r="J83" s="19">
        <v>18.834621429443359</v>
      </c>
      <c r="K83" s="19">
        <v>241.5</v>
      </c>
      <c r="L83" s="19">
        <v>91.75</v>
      </c>
    </row>
    <row r="84" spans="4:12">
      <c r="D84" s="16">
        <v>43925.083333333336</v>
      </c>
      <c r="E84" s="17">
        <v>0.1</v>
      </c>
      <c r="F84" s="19">
        <v>3.9529809999999999E-2</v>
      </c>
      <c r="G84" s="25">
        <v>17.33024</v>
      </c>
      <c r="H84" s="19">
        <v>49.422020000000003</v>
      </c>
      <c r="I84" s="19">
        <v>1.7985922750085592E-4</v>
      </c>
      <c r="J84" s="19">
        <v>15.992578506469727</v>
      </c>
      <c r="K84" s="19">
        <v>241.5</v>
      </c>
      <c r="L84" s="19">
        <v>91.75</v>
      </c>
    </row>
    <row r="85" spans="4:12">
      <c r="D85" s="16">
        <v>43925.125</v>
      </c>
      <c r="E85" s="17">
        <v>0.1</v>
      </c>
      <c r="F85" s="19">
        <v>3.9529809999999999E-2</v>
      </c>
      <c r="G85" s="25">
        <v>14.654920000000001</v>
      </c>
      <c r="H85" s="19">
        <v>46.505209999999998</v>
      </c>
      <c r="I85" s="19">
        <v>1.7836660845205188E-4</v>
      </c>
      <c r="J85" s="19">
        <v>13.552888870239258</v>
      </c>
      <c r="K85" s="19">
        <v>241.5</v>
      </c>
      <c r="L85" s="19">
        <v>91.75</v>
      </c>
    </row>
    <row r="86" spans="4:12">
      <c r="D86" s="16">
        <v>43925.166666666664</v>
      </c>
      <c r="E86" s="17">
        <v>0</v>
      </c>
      <c r="F86" s="19">
        <v>0</v>
      </c>
      <c r="G86" s="25">
        <v>12.45086</v>
      </c>
      <c r="H86" s="19">
        <v>43.195059999999998</v>
      </c>
      <c r="I86" s="19">
        <v>1.768863876350224E-4</v>
      </c>
      <c r="J86" s="19">
        <v>11.538074493408203</v>
      </c>
      <c r="K86" s="19">
        <v>241.5</v>
      </c>
      <c r="L86" s="19">
        <v>91.75</v>
      </c>
    </row>
    <row r="87" spans="4:12">
      <c r="D87" s="16">
        <v>43925.208333333336</v>
      </c>
      <c r="E87" s="17">
        <v>0</v>
      </c>
      <c r="F87" s="19">
        <v>0</v>
      </c>
      <c r="G87" s="25">
        <v>10.62529</v>
      </c>
      <c r="H87" s="19">
        <v>39.57085</v>
      </c>
      <c r="I87" s="19">
        <v>1.7541843408253044E-4</v>
      </c>
      <c r="J87" s="19">
        <v>9.8648309707641602</v>
      </c>
      <c r="K87" s="19">
        <v>241.5</v>
      </c>
      <c r="L87" s="19">
        <v>91.75</v>
      </c>
    </row>
    <row r="88" spans="4:12">
      <c r="D88" s="16">
        <v>43925.25</v>
      </c>
      <c r="E88" s="17">
        <v>0</v>
      </c>
      <c r="F88" s="19">
        <v>0</v>
      </c>
      <c r="G88" s="25">
        <v>9.1043749999999992</v>
      </c>
      <c r="H88" s="19">
        <v>35.756369999999997</v>
      </c>
      <c r="I88" s="19">
        <v>1.7396268958691508E-4</v>
      </c>
      <c r="J88" s="19">
        <v>8.4708213806152344</v>
      </c>
      <c r="K88" s="19">
        <v>241.5</v>
      </c>
      <c r="L88" s="19">
        <v>91.75</v>
      </c>
    </row>
    <row r="89" spans="4:12">
      <c r="D89" s="16">
        <v>43925.291666666664</v>
      </c>
      <c r="E89" s="17">
        <v>0</v>
      </c>
      <c r="F89" s="19">
        <v>0</v>
      </c>
      <c r="G89" s="25">
        <v>7.837269</v>
      </c>
      <c r="H89" s="19">
        <v>31.890059999999998</v>
      </c>
      <c r="I89" s="19">
        <v>1.7251900862902403E-4</v>
      </c>
      <c r="J89" s="19">
        <v>7.3065838813781738</v>
      </c>
      <c r="K89" s="19">
        <v>241.5</v>
      </c>
      <c r="L89" s="19">
        <v>91.75</v>
      </c>
    </row>
    <row r="90" spans="4:12">
      <c r="D90" s="16">
        <v>43925.333333333336</v>
      </c>
      <c r="E90" s="17">
        <v>0</v>
      </c>
      <c r="F90" s="19">
        <v>0</v>
      </c>
      <c r="G90" s="25">
        <v>6.7758979999999998</v>
      </c>
      <c r="H90" s="19">
        <v>28.10201</v>
      </c>
      <c r="I90" s="19">
        <v>1.7108730389736593E-4</v>
      </c>
      <c r="J90" s="19">
        <v>6.3369174003601074</v>
      </c>
      <c r="K90" s="19">
        <v>241.5</v>
      </c>
      <c r="L90" s="19">
        <v>91.75</v>
      </c>
    </row>
    <row r="91" spans="4:12">
      <c r="D91" s="16">
        <v>43925.375</v>
      </c>
      <c r="E91" s="17">
        <v>0</v>
      </c>
      <c r="F91" s="19">
        <v>0</v>
      </c>
      <c r="G91" s="25">
        <v>5.8979359999999996</v>
      </c>
      <c r="H91" s="19">
        <v>24.50102</v>
      </c>
      <c r="I91" s="19">
        <v>1.696674880804494E-4</v>
      </c>
      <c r="J91" s="19">
        <v>5.5210385322570801</v>
      </c>
      <c r="K91" s="19">
        <v>241.5</v>
      </c>
      <c r="L91" s="19">
        <v>91.75</v>
      </c>
    </row>
    <row r="92" spans="4:12">
      <c r="D92" s="16">
        <v>43925.416666666664</v>
      </c>
      <c r="E92" s="17">
        <v>0</v>
      </c>
      <c r="F92" s="19">
        <v>0</v>
      </c>
      <c r="G92" s="25">
        <v>5.1441410000000003</v>
      </c>
      <c r="H92" s="19">
        <v>21.165700000000001</v>
      </c>
      <c r="I92" s="19">
        <v>1.6825947386678308E-4</v>
      </c>
      <c r="J92" s="19">
        <v>4.7874870300292969</v>
      </c>
      <c r="K92" s="19">
        <v>241.5</v>
      </c>
      <c r="L92" s="19">
        <v>91.75</v>
      </c>
    </row>
    <row r="93" spans="4:12">
      <c r="D93" s="16">
        <v>43925.458333333336</v>
      </c>
      <c r="E93" s="17">
        <v>0</v>
      </c>
      <c r="F93" s="19">
        <v>0</v>
      </c>
      <c r="G93" s="25">
        <v>4.4308329999999998</v>
      </c>
      <c r="H93" s="19">
        <v>18.14789</v>
      </c>
      <c r="I93" s="19">
        <v>1.6686311573721468E-4</v>
      </c>
      <c r="J93" s="19">
        <v>4.1201939582824707</v>
      </c>
      <c r="K93" s="19">
        <v>241.5</v>
      </c>
      <c r="L93" s="19">
        <v>91.75</v>
      </c>
    </row>
    <row r="94" spans="4:12">
      <c r="D94" s="16">
        <v>43925.5</v>
      </c>
      <c r="E94" s="17">
        <v>0</v>
      </c>
      <c r="F94" s="19">
        <v>0</v>
      </c>
      <c r="G94" s="25">
        <v>3.8095560000000002</v>
      </c>
      <c r="H94" s="19">
        <v>15.494009999999999</v>
      </c>
      <c r="I94" s="19">
        <v>1.6547835548408329E-4</v>
      </c>
      <c r="J94" s="19">
        <v>3.5606875419616699</v>
      </c>
      <c r="K94" s="19">
        <v>241.5</v>
      </c>
      <c r="L94" s="19">
        <v>91.75</v>
      </c>
    </row>
    <row r="95" spans="4:12">
      <c r="D95" s="16">
        <v>43925.541666666664</v>
      </c>
      <c r="E95" s="17">
        <v>0</v>
      </c>
      <c r="F95" s="19">
        <v>0</v>
      </c>
      <c r="G95" s="25">
        <v>3.3118189999999998</v>
      </c>
      <c r="H95" s="19">
        <v>13.219989999999999</v>
      </c>
      <c r="I95" s="19">
        <v>1.6410510579589754E-4</v>
      </c>
      <c r="J95" s="19">
        <v>3.0894458293914795</v>
      </c>
      <c r="K95" s="19">
        <v>241.5</v>
      </c>
      <c r="L95" s="19">
        <v>91.75</v>
      </c>
    </row>
    <row r="96" spans="4:12">
      <c r="D96" s="16">
        <v>43925.583333333336</v>
      </c>
      <c r="E96" s="17">
        <v>0</v>
      </c>
      <c r="F96" s="19">
        <v>0</v>
      </c>
      <c r="G96" s="25">
        <v>2.8670719999999998</v>
      </c>
      <c r="H96" s="19">
        <v>11.29571</v>
      </c>
      <c r="I96" s="19">
        <v>1.6274323570542037E-4</v>
      </c>
      <c r="J96" s="19">
        <v>2.6658561229705811</v>
      </c>
      <c r="K96" s="19">
        <v>241.5</v>
      </c>
      <c r="L96" s="19">
        <v>91.75</v>
      </c>
    </row>
    <row r="97" spans="4:12">
      <c r="D97" s="16">
        <v>43925.625</v>
      </c>
      <c r="E97" s="17">
        <v>0</v>
      </c>
      <c r="F97" s="19">
        <v>0</v>
      </c>
      <c r="G97" s="25">
        <v>2.4646400000000002</v>
      </c>
      <c r="H97" s="19">
        <v>9.6772179999999999</v>
      </c>
      <c r="I97" s="19">
        <v>1.6139267245307565E-4</v>
      </c>
      <c r="J97" s="19">
        <v>2.3260486125946045</v>
      </c>
      <c r="K97" s="19">
        <v>241.5</v>
      </c>
      <c r="L97" s="19">
        <v>91.75</v>
      </c>
    </row>
    <row r="98" spans="4:12">
      <c r="D98" s="16">
        <v>43925.666666666664</v>
      </c>
      <c r="E98" s="17">
        <v>0</v>
      </c>
      <c r="F98" s="19">
        <v>0</v>
      </c>
      <c r="G98" s="25">
        <v>2.1874579999999999</v>
      </c>
      <c r="H98" s="19">
        <v>8.3202719999999992</v>
      </c>
      <c r="I98" s="19">
        <v>1.6005329962354153E-4</v>
      </c>
      <c r="J98" s="19">
        <v>2.0857925415039062</v>
      </c>
      <c r="K98" s="19">
        <v>241.5</v>
      </c>
      <c r="L98" s="19">
        <v>91.75</v>
      </c>
    </row>
    <row r="99" spans="4:12">
      <c r="D99" s="16">
        <v>43925.708333333336</v>
      </c>
      <c r="E99" s="17">
        <v>0</v>
      </c>
      <c r="F99" s="19">
        <v>0</v>
      </c>
      <c r="G99" s="25">
        <v>1.9841279999999999</v>
      </c>
      <c r="H99" s="19">
        <v>7.1841939999999997</v>
      </c>
      <c r="I99" s="19">
        <v>1.5872505900915712E-4</v>
      </c>
      <c r="J99" s="19">
        <v>1.8910893201828003</v>
      </c>
      <c r="K99" s="19">
        <v>241.5</v>
      </c>
      <c r="L99" s="19">
        <v>91.75</v>
      </c>
    </row>
    <row r="100" spans="4:12">
      <c r="D100" s="16">
        <v>43925.75</v>
      </c>
      <c r="E100" s="17">
        <v>0</v>
      </c>
      <c r="F100" s="19">
        <v>0</v>
      </c>
      <c r="G100" s="25">
        <v>1.7980510000000001</v>
      </c>
      <c r="H100" s="19">
        <v>6.2228709999999996</v>
      </c>
      <c r="I100" s="19">
        <v>1.5740784874651581E-4</v>
      </c>
      <c r="J100" s="19">
        <v>1.7276734113693237</v>
      </c>
      <c r="K100" s="19">
        <v>241.5</v>
      </c>
      <c r="L100" s="19">
        <v>91.75</v>
      </c>
    </row>
    <row r="101" spans="4:12">
      <c r="D101" s="16">
        <v>43925.791666666664</v>
      </c>
      <c r="E101" s="17">
        <v>0</v>
      </c>
      <c r="F101" s="19">
        <v>0</v>
      </c>
      <c r="G101" s="25">
        <v>1.6572960000000001</v>
      </c>
      <c r="H101" s="19">
        <v>5.3872080000000002</v>
      </c>
      <c r="I101" s="19">
        <v>1.5610155242029577E-4</v>
      </c>
      <c r="J101" s="19">
        <v>1.5822322368621826</v>
      </c>
      <c r="K101" s="19">
        <v>241.5</v>
      </c>
      <c r="L101" s="19">
        <v>91.75</v>
      </c>
    </row>
    <row r="102" spans="4:12">
      <c r="D102" s="16">
        <v>43925.833333333336</v>
      </c>
      <c r="E102" s="17">
        <v>0</v>
      </c>
      <c r="F102" s="19">
        <v>0</v>
      </c>
      <c r="G102" s="25">
        <v>1.507169</v>
      </c>
      <c r="H102" s="19">
        <v>4.6547409999999996</v>
      </c>
      <c r="I102" s="19">
        <v>1.548061118228361E-4</v>
      </c>
      <c r="J102" s="19">
        <v>1.4232654571533203</v>
      </c>
      <c r="K102" s="19">
        <v>241.5</v>
      </c>
      <c r="L102" s="19">
        <v>91.75</v>
      </c>
    </row>
    <row r="103" spans="4:12">
      <c r="D103" s="16">
        <v>43925.875</v>
      </c>
      <c r="E103" s="17">
        <v>0</v>
      </c>
      <c r="F103" s="19">
        <v>0</v>
      </c>
      <c r="G103" s="25">
        <v>1.3393619999999999</v>
      </c>
      <c r="H103" s="19">
        <v>4.0243469999999997</v>
      </c>
      <c r="I103" s="19">
        <v>1.5352141053881496E-4</v>
      </c>
      <c r="J103" s="19">
        <v>1.2485957145690918</v>
      </c>
      <c r="K103" s="19">
        <v>241.5</v>
      </c>
      <c r="L103" s="19">
        <v>91.75</v>
      </c>
    </row>
    <row r="104" spans="4:12">
      <c r="D104" s="16">
        <v>43925.916666666664</v>
      </c>
      <c r="E104" s="17">
        <v>0</v>
      </c>
      <c r="F104" s="19">
        <v>0</v>
      </c>
      <c r="G104" s="25">
        <v>1.157829</v>
      </c>
      <c r="H104" s="19">
        <v>3.4819930000000001</v>
      </c>
      <c r="I104" s="19">
        <v>1.5224737580865622E-4</v>
      </c>
      <c r="J104" s="19">
        <v>1.1182266473770142</v>
      </c>
      <c r="K104" s="19">
        <v>241.5</v>
      </c>
      <c r="L104" s="19">
        <v>91.75</v>
      </c>
    </row>
    <row r="105" spans="4:12">
      <c r="D105" s="16">
        <v>43925.958333333336</v>
      </c>
      <c r="E105" s="17">
        <v>0</v>
      </c>
      <c r="F105" s="19">
        <v>0</v>
      </c>
      <c r="G105" s="25">
        <v>1.078624</v>
      </c>
      <c r="H105" s="19">
        <v>3.0137890000000001</v>
      </c>
      <c r="I105" s="19">
        <v>1.5098390576895326E-4</v>
      </c>
      <c r="J105" s="19">
        <v>1.044414758682251</v>
      </c>
      <c r="K105" s="19">
        <v>241.5</v>
      </c>
      <c r="L105" s="19">
        <v>91.75</v>
      </c>
    </row>
    <row r="106" spans="4:12">
      <c r="D106" s="16">
        <v>43926</v>
      </c>
      <c r="E106" s="17">
        <v>0</v>
      </c>
      <c r="F106" s="19">
        <v>0</v>
      </c>
      <c r="G106" s="25">
        <v>1.010205</v>
      </c>
      <c r="H106" s="19">
        <v>2.6273209999999998</v>
      </c>
      <c r="I106" s="19">
        <v>1.4973092766012996E-4</v>
      </c>
      <c r="J106" s="19">
        <v>0.97652304172515869</v>
      </c>
      <c r="K106" s="19">
        <v>241.5</v>
      </c>
      <c r="L106" s="19">
        <v>91.75</v>
      </c>
    </row>
    <row r="107" spans="4:12">
      <c r="D107" s="16">
        <v>43926.041666666664</v>
      </c>
      <c r="E107" s="17">
        <v>0</v>
      </c>
      <c r="F107" s="19">
        <v>0</v>
      </c>
      <c r="G107" s="25">
        <v>0.94284069999999998</v>
      </c>
      <c r="H107" s="19">
        <v>2.3220450000000001</v>
      </c>
      <c r="I107" s="19">
        <v>1.4848835417069495E-4</v>
      </c>
      <c r="J107" s="19">
        <v>0.88203632831573486</v>
      </c>
      <c r="K107" s="19">
        <v>241.5</v>
      </c>
      <c r="L107" s="19">
        <v>91.75</v>
      </c>
    </row>
    <row r="108" spans="4:12">
      <c r="D108" s="16">
        <v>43926.083333333336</v>
      </c>
      <c r="E108" s="17">
        <v>0</v>
      </c>
      <c r="F108" s="19">
        <v>0</v>
      </c>
      <c r="G108" s="25">
        <v>0.82123199999999996</v>
      </c>
      <c r="H108" s="19">
        <v>2.077617</v>
      </c>
      <c r="I108" s="19">
        <v>1.4725608343724161E-4</v>
      </c>
      <c r="J108" s="19">
        <v>0.76347994804382324</v>
      </c>
      <c r="K108" s="19">
        <v>241.5</v>
      </c>
      <c r="L108" s="19">
        <v>91.75</v>
      </c>
    </row>
    <row r="109" spans="4:12">
      <c r="D109" s="16">
        <v>43926.125</v>
      </c>
      <c r="E109" s="17">
        <v>0</v>
      </c>
      <c r="F109" s="19">
        <v>0</v>
      </c>
      <c r="G109" s="25">
        <v>0.70572789999999996</v>
      </c>
      <c r="H109" s="19">
        <v>1.8769020000000001</v>
      </c>
      <c r="I109" s="19">
        <v>1.4603402814827859E-4</v>
      </c>
      <c r="J109" s="19">
        <v>0.66728317737579346</v>
      </c>
      <c r="K109" s="19">
        <v>241.5</v>
      </c>
      <c r="L109" s="19">
        <v>91.75</v>
      </c>
    </row>
    <row r="110" spans="4:12">
      <c r="D110" s="16">
        <v>43926.166666666664</v>
      </c>
      <c r="E110" s="17">
        <v>0.1</v>
      </c>
      <c r="F110" s="19">
        <v>3.9529809999999999E-2</v>
      </c>
      <c r="G110" s="25">
        <v>0.62883849999999997</v>
      </c>
      <c r="H110" s="19">
        <v>1.7014940000000001</v>
      </c>
      <c r="I110" s="19">
        <v>1.448221446480602E-4</v>
      </c>
      <c r="J110" s="19">
        <v>0.61780214309692383</v>
      </c>
      <c r="K110" s="19">
        <v>241.5</v>
      </c>
      <c r="L110" s="19">
        <v>91.75</v>
      </c>
    </row>
    <row r="111" spans="4:12">
      <c r="D111" s="16">
        <v>43926.208333333336</v>
      </c>
      <c r="E111" s="17">
        <v>0.1</v>
      </c>
      <c r="F111" s="19">
        <v>3.9529809999999999E-2</v>
      </c>
      <c r="G111" s="25">
        <v>0.60676589999999997</v>
      </c>
      <c r="H111" s="19">
        <v>1.5315669999999999</v>
      </c>
      <c r="I111" s="19">
        <v>1.4362030196934938E-4</v>
      </c>
      <c r="J111" s="19">
        <v>0.63885700702667236</v>
      </c>
      <c r="K111" s="19">
        <v>241.5</v>
      </c>
      <c r="L111" s="19">
        <v>91.75</v>
      </c>
    </row>
    <row r="112" spans="4:12">
      <c r="D112" s="16">
        <v>43926.25</v>
      </c>
      <c r="E112" s="17">
        <v>0.1</v>
      </c>
      <c r="F112" s="19">
        <v>3.9529809999999999E-2</v>
      </c>
      <c r="G112" s="25">
        <v>0.67094810000000005</v>
      </c>
      <c r="H112" s="19">
        <v>1.36703</v>
      </c>
      <c r="I112" s="19">
        <v>1.4242842735257E-4</v>
      </c>
      <c r="J112" s="19">
        <v>0.73082888126373291</v>
      </c>
      <c r="K112" s="19">
        <v>241.5</v>
      </c>
      <c r="L112" s="19">
        <v>91.75</v>
      </c>
    </row>
    <row r="113" spans="4:12">
      <c r="D113" s="16">
        <v>43926.291666666664</v>
      </c>
      <c r="E113" s="17">
        <v>0</v>
      </c>
      <c r="F113" s="19">
        <v>0</v>
      </c>
      <c r="G113" s="25">
        <v>0.79070960000000001</v>
      </c>
      <c r="H113" s="19">
        <v>1.2295119999999999</v>
      </c>
      <c r="I113" s="19">
        <v>1.412464480381459E-4</v>
      </c>
      <c r="J113" s="19">
        <v>0.85384750366210938</v>
      </c>
      <c r="K113" s="19">
        <v>241.5</v>
      </c>
      <c r="L113" s="19">
        <v>91.75</v>
      </c>
    </row>
    <row r="114" spans="4:12">
      <c r="D114" s="16">
        <v>43926.333333333336</v>
      </c>
      <c r="E114" s="17">
        <v>0.1</v>
      </c>
      <c r="F114" s="19">
        <v>3.9529809999999999E-2</v>
      </c>
      <c r="G114" s="25">
        <v>0.91698539999999995</v>
      </c>
      <c r="H114" s="19">
        <v>1.12493</v>
      </c>
      <c r="I114" s="19">
        <v>1.4007427671458572E-4</v>
      </c>
      <c r="J114" s="19">
        <v>0.99693262577056885</v>
      </c>
      <c r="K114" s="19">
        <v>241.5</v>
      </c>
      <c r="L114" s="19">
        <v>91.75</v>
      </c>
    </row>
    <row r="115" spans="4:12">
      <c r="D115" s="16">
        <v>43926.375</v>
      </c>
      <c r="E115" s="17">
        <v>0</v>
      </c>
      <c r="F115" s="19">
        <v>0</v>
      </c>
      <c r="G115" s="25">
        <v>1.0768800000000001</v>
      </c>
      <c r="H115" s="19">
        <v>1.0340590000000001</v>
      </c>
      <c r="I115" s="19">
        <v>1.3891184062231332E-4</v>
      </c>
      <c r="J115" s="19">
        <v>1.1597704887390137</v>
      </c>
      <c r="K115" s="19">
        <v>241.5</v>
      </c>
      <c r="L115" s="19">
        <v>91.75</v>
      </c>
    </row>
    <row r="116" spans="4:12">
      <c r="D116" s="16">
        <v>43926.416666666664</v>
      </c>
      <c r="E116" s="17">
        <v>0</v>
      </c>
      <c r="F116" s="19">
        <v>0</v>
      </c>
      <c r="G116" s="25">
        <v>1.242661</v>
      </c>
      <c r="H116" s="19">
        <v>0.93715970000000004</v>
      </c>
      <c r="I116" s="19">
        <v>1.377590378979221E-4</v>
      </c>
      <c r="J116" s="19">
        <v>1.3083289861679077</v>
      </c>
      <c r="K116" s="19">
        <v>241.5</v>
      </c>
      <c r="L116" s="19">
        <v>91.75</v>
      </c>
    </row>
    <row r="117" spans="4:12">
      <c r="D117" s="16">
        <v>43926.458333333336</v>
      </c>
      <c r="E117" s="17">
        <v>0</v>
      </c>
      <c r="F117" s="19">
        <v>0</v>
      </c>
      <c r="G117" s="25">
        <v>1.3739969999999999</v>
      </c>
      <c r="H117" s="19">
        <v>0.83333599999999997</v>
      </c>
      <c r="I117" s="19">
        <v>1.3661581033375114E-4</v>
      </c>
      <c r="J117" s="19">
        <v>1.4132899045944214</v>
      </c>
      <c r="K117" s="19">
        <v>241.5</v>
      </c>
      <c r="L117" s="19">
        <v>91.75</v>
      </c>
    </row>
    <row r="118" spans="4:12">
      <c r="D118" s="16">
        <v>43926.5</v>
      </c>
      <c r="E118" s="17">
        <v>0</v>
      </c>
      <c r="F118" s="19">
        <v>0</v>
      </c>
      <c r="G118" s="25">
        <v>1.452583</v>
      </c>
      <c r="H118" s="19">
        <v>0.74151829999999996</v>
      </c>
      <c r="I118" s="19">
        <v>1.3548207061830908E-4</v>
      </c>
      <c r="J118" s="19">
        <v>1.4553662538528442</v>
      </c>
      <c r="K118" s="19">
        <v>241.5</v>
      </c>
      <c r="L118" s="19">
        <v>91.75</v>
      </c>
    </row>
    <row r="119" spans="4:12">
      <c r="D119" s="16">
        <v>43926.541666666664</v>
      </c>
      <c r="E119" s="17">
        <v>0</v>
      </c>
      <c r="F119" s="19">
        <v>0</v>
      </c>
      <c r="G119" s="25">
        <v>1.4581500000000001</v>
      </c>
      <c r="H119" s="19">
        <v>0.68325959999999997</v>
      </c>
      <c r="I119" s="19">
        <v>1.3435774599201977E-4</v>
      </c>
      <c r="J119" s="19">
        <v>1.4224956035614014</v>
      </c>
      <c r="K119" s="19">
        <v>241.5</v>
      </c>
      <c r="L119" s="19">
        <v>91.75</v>
      </c>
    </row>
    <row r="120" spans="4:12">
      <c r="D120" s="16">
        <v>43926.583333333336</v>
      </c>
      <c r="E120" s="17">
        <v>0</v>
      </c>
      <c r="F120" s="19">
        <v>0</v>
      </c>
      <c r="G120" s="25">
        <v>1.3868419999999999</v>
      </c>
      <c r="H120" s="19">
        <v>0.67714059999999998</v>
      </c>
      <c r="I120" s="19">
        <v>1.3324273459147662E-4</v>
      </c>
      <c r="J120" s="19">
        <v>1.3263914585113525</v>
      </c>
      <c r="K120" s="19">
        <v>241.5</v>
      </c>
      <c r="L120" s="19">
        <v>91.75</v>
      </c>
    </row>
    <row r="121" spans="4:12">
      <c r="D121" s="16">
        <v>43926.625</v>
      </c>
      <c r="E121" s="17">
        <v>0</v>
      </c>
      <c r="F121" s="19">
        <v>0</v>
      </c>
      <c r="G121" s="25">
        <v>1.265941</v>
      </c>
      <c r="H121" s="19">
        <v>0.72557570000000005</v>
      </c>
      <c r="I121" s="19">
        <v>1.3213697820901871E-4</v>
      </c>
      <c r="J121" s="19">
        <v>1.202470064163208</v>
      </c>
      <c r="K121" s="19">
        <v>241.5</v>
      </c>
      <c r="L121" s="19">
        <v>91.75</v>
      </c>
    </row>
    <row r="122" spans="4:12">
      <c r="D122" s="16">
        <v>43926.666666666664</v>
      </c>
      <c r="E122" s="17">
        <v>0</v>
      </c>
      <c r="F122" s="19">
        <v>0</v>
      </c>
      <c r="G122" s="25">
        <v>1.1389990000000001</v>
      </c>
      <c r="H122" s="19">
        <v>0.81487039999999999</v>
      </c>
      <c r="I122" s="19">
        <v>1.3104041863698512E-4</v>
      </c>
      <c r="J122" s="19">
        <v>1.0783452987670898</v>
      </c>
      <c r="K122" s="19">
        <v>241.5</v>
      </c>
      <c r="L122" s="19">
        <v>91.75</v>
      </c>
    </row>
    <row r="123" spans="4:12">
      <c r="D123" s="16">
        <v>43926.708333333336</v>
      </c>
      <c r="E123" s="17">
        <v>0</v>
      </c>
      <c r="F123" s="19">
        <v>0</v>
      </c>
      <c r="G123" s="25">
        <v>1.017692</v>
      </c>
      <c r="H123" s="19">
        <v>0.93455849999999996</v>
      </c>
      <c r="I123" s="19">
        <v>1.2995293946005404E-4</v>
      </c>
      <c r="J123" s="19">
        <v>0.95904302597045898</v>
      </c>
      <c r="K123" s="19">
        <v>241.5</v>
      </c>
      <c r="L123" s="19">
        <v>91.75</v>
      </c>
    </row>
    <row r="124" spans="4:12">
      <c r="D124" s="16">
        <v>43926.75</v>
      </c>
      <c r="E124" s="17">
        <v>0</v>
      </c>
      <c r="F124" s="19">
        <v>0</v>
      </c>
      <c r="G124" s="25">
        <v>0.90039429999999998</v>
      </c>
      <c r="H124" s="19">
        <v>1.073348</v>
      </c>
      <c r="I124" s="19">
        <v>1.2887449702247977E-4</v>
      </c>
      <c r="J124" s="19">
        <v>0.84907835721969604</v>
      </c>
      <c r="K124" s="19">
        <v>241.5</v>
      </c>
      <c r="L124" s="19">
        <v>91.75</v>
      </c>
    </row>
    <row r="125" spans="4:12">
      <c r="D125" s="16">
        <v>43926.791666666664</v>
      </c>
      <c r="E125" s="17">
        <v>0.1</v>
      </c>
      <c r="F125" s="19">
        <v>3.9529809999999999E-2</v>
      </c>
      <c r="G125" s="25">
        <v>0.79776239999999998</v>
      </c>
      <c r="H125" s="19">
        <v>1.2093879999999999</v>
      </c>
      <c r="I125" s="19">
        <v>1.2780498946085572E-4</v>
      </c>
      <c r="J125" s="19">
        <v>0.76897633075714111</v>
      </c>
      <c r="K125" s="19">
        <v>241.5</v>
      </c>
      <c r="L125" s="19">
        <v>91.75</v>
      </c>
    </row>
    <row r="126" spans="4:12">
      <c r="D126" s="16">
        <v>43926.833333333336</v>
      </c>
      <c r="E126" s="17">
        <v>0.1</v>
      </c>
      <c r="F126" s="19">
        <v>3.9529809999999999E-2</v>
      </c>
      <c r="G126" s="25">
        <v>0.74019020000000002</v>
      </c>
      <c r="H126" s="19">
        <v>1.318846</v>
      </c>
      <c r="I126" s="19">
        <v>1.267443731194362E-4</v>
      </c>
      <c r="J126" s="19">
        <v>0.74075210094451904</v>
      </c>
      <c r="K126" s="19">
        <v>241.5</v>
      </c>
      <c r="L126" s="19">
        <v>91.75</v>
      </c>
    </row>
    <row r="127" spans="4:12">
      <c r="D127" s="16">
        <v>43926.875</v>
      </c>
      <c r="E127" s="17">
        <v>0</v>
      </c>
      <c r="F127" s="19">
        <v>0</v>
      </c>
      <c r="G127" s="25">
        <v>0.74131389999999997</v>
      </c>
      <c r="H127" s="19">
        <v>1.381432</v>
      </c>
      <c r="I127" s="19">
        <v>1.2569256068672985E-4</v>
      </c>
      <c r="J127" s="19">
        <v>0.76332736015319824</v>
      </c>
      <c r="K127" s="19">
        <v>241.5</v>
      </c>
      <c r="L127" s="19">
        <v>91.75</v>
      </c>
    </row>
    <row r="128" spans="4:12">
      <c r="D128" s="16">
        <v>43926.916666666664</v>
      </c>
      <c r="E128" s="17">
        <v>0</v>
      </c>
      <c r="F128" s="19">
        <v>0</v>
      </c>
      <c r="G128" s="25">
        <v>0.7853407</v>
      </c>
      <c r="H128" s="19">
        <v>1.3851420000000001</v>
      </c>
      <c r="I128" s="19">
        <v>1.2464946485124528E-4</v>
      </c>
      <c r="J128" s="19">
        <v>0.81308019161224365</v>
      </c>
      <c r="K128" s="19">
        <v>241.5</v>
      </c>
      <c r="L128" s="19">
        <v>91.75</v>
      </c>
    </row>
    <row r="129" spans="4:12">
      <c r="D129" s="16">
        <v>43926.958333333336</v>
      </c>
      <c r="E129" s="17">
        <v>0</v>
      </c>
      <c r="F129" s="19">
        <v>0</v>
      </c>
      <c r="G129" s="25">
        <v>0.84081969999999995</v>
      </c>
      <c r="H129" s="19">
        <v>1.334001</v>
      </c>
      <c r="I129" s="19">
        <v>1.236150274053216E-4</v>
      </c>
      <c r="J129" s="19">
        <v>0.86239832639694214</v>
      </c>
      <c r="K129" s="19">
        <v>241.5</v>
      </c>
      <c r="L129" s="19">
        <v>91.75</v>
      </c>
    </row>
    <row r="130" spans="4:12">
      <c r="D130" s="16">
        <v>43927</v>
      </c>
      <c r="E130" s="17">
        <v>0</v>
      </c>
      <c r="F130" s="19">
        <v>0</v>
      </c>
      <c r="G130" s="25">
        <v>0.88397700000000001</v>
      </c>
      <c r="H130" s="19">
        <v>1.2463839999999999</v>
      </c>
      <c r="I130" s="19">
        <v>1.2258917558938265E-4</v>
      </c>
      <c r="J130" s="19">
        <v>0.89308255910873413</v>
      </c>
      <c r="K130" s="19">
        <v>241.5</v>
      </c>
      <c r="L130" s="19">
        <v>91.75</v>
      </c>
    </row>
    <row r="131" spans="4:12">
      <c r="D131" s="16">
        <v>43927.041666666664</v>
      </c>
      <c r="E131" s="17">
        <v>0</v>
      </c>
      <c r="F131" s="19">
        <v>0</v>
      </c>
      <c r="G131" s="25">
        <v>0.90218810000000005</v>
      </c>
      <c r="H131" s="19">
        <v>1.1413340000000001</v>
      </c>
      <c r="I131" s="19">
        <v>1.2157183664385229E-4</v>
      </c>
      <c r="J131" s="19">
        <v>0.89713114500045776</v>
      </c>
      <c r="K131" s="19">
        <v>241.5</v>
      </c>
      <c r="L131" s="19">
        <v>91.75</v>
      </c>
    </row>
    <row r="132" spans="4:12">
      <c r="D132" s="16">
        <v>43927.083333333336</v>
      </c>
      <c r="E132" s="17">
        <v>0</v>
      </c>
      <c r="F132" s="19">
        <v>0</v>
      </c>
      <c r="G132" s="25">
        <v>0.89207420000000004</v>
      </c>
      <c r="H132" s="19">
        <v>1.0307850000000001</v>
      </c>
      <c r="I132" s="19">
        <v>1.2056294508511201E-4</v>
      </c>
      <c r="J132" s="19">
        <v>0.87416809797286987</v>
      </c>
      <c r="K132" s="19">
        <v>241.5</v>
      </c>
      <c r="L132" s="19">
        <v>91.75</v>
      </c>
    </row>
    <row r="133" spans="4:12">
      <c r="D133" s="16">
        <v>43927.125</v>
      </c>
      <c r="E133" s="17">
        <v>0</v>
      </c>
      <c r="F133" s="19">
        <v>0</v>
      </c>
      <c r="G133" s="25">
        <v>0.85626199999999997</v>
      </c>
      <c r="H133" s="19">
        <v>0.92576199999999997</v>
      </c>
      <c r="I133" s="19">
        <v>1.1956242087762803E-4</v>
      </c>
      <c r="J133" s="19">
        <v>0.83368998765945435</v>
      </c>
      <c r="K133" s="19">
        <v>241.5</v>
      </c>
      <c r="L133" s="19">
        <v>91.75</v>
      </c>
    </row>
    <row r="134" spans="4:12">
      <c r="D134" s="16">
        <v>43927.166666666664</v>
      </c>
      <c r="E134" s="17">
        <v>0.1</v>
      </c>
      <c r="F134" s="19">
        <v>3.9529809999999999E-2</v>
      </c>
      <c r="G134" s="25">
        <v>0.81111789999999995</v>
      </c>
      <c r="H134" s="19">
        <v>0.84230879999999997</v>
      </c>
      <c r="I134" s="19">
        <v>1.1857019853778183E-4</v>
      </c>
      <c r="J134" s="19">
        <v>0.7943992018699646</v>
      </c>
      <c r="K134" s="19">
        <v>241.5</v>
      </c>
      <c r="L134" s="19">
        <v>91.75</v>
      </c>
    </row>
    <row r="135" spans="4:12">
      <c r="D135" s="16">
        <v>43927.208333333336</v>
      </c>
      <c r="E135" s="17">
        <v>0</v>
      </c>
      <c r="F135" s="19">
        <v>0</v>
      </c>
      <c r="G135" s="25">
        <v>0.7776805</v>
      </c>
      <c r="H135" s="19">
        <v>0.79541099999999998</v>
      </c>
      <c r="I135" s="19">
        <v>1.1758621985791251E-4</v>
      </c>
      <c r="J135" s="19">
        <v>0.7716667652130127</v>
      </c>
      <c r="K135" s="19">
        <v>241.5</v>
      </c>
      <c r="L135" s="19">
        <v>91.75</v>
      </c>
    </row>
    <row r="136" spans="4:12">
      <c r="D136" s="16">
        <v>43927.25</v>
      </c>
      <c r="E136" s="17">
        <v>0</v>
      </c>
      <c r="F136" s="19">
        <v>0</v>
      </c>
      <c r="G136" s="25">
        <v>0.76565300000000003</v>
      </c>
      <c r="H136" s="19">
        <v>0.78806069999999995</v>
      </c>
      <c r="I136" s="19">
        <v>1.1661039025057107E-4</v>
      </c>
      <c r="J136" s="19">
        <v>0.76242822408676147</v>
      </c>
      <c r="K136" s="19">
        <v>241.5</v>
      </c>
      <c r="L136" s="19">
        <v>91.75</v>
      </c>
    </row>
    <row r="137" spans="4:12">
      <c r="D137" s="16">
        <v>43927.291666666664</v>
      </c>
      <c r="E137" s="17">
        <v>0</v>
      </c>
      <c r="F137" s="19">
        <v>0</v>
      </c>
      <c r="G137" s="25">
        <v>0.75920339999999997</v>
      </c>
      <c r="H137" s="19">
        <v>0.80922539999999998</v>
      </c>
      <c r="I137" s="19">
        <v>1.1564268061192706E-4</v>
      </c>
      <c r="J137" s="19">
        <v>0.76055693626403809</v>
      </c>
      <c r="K137" s="19">
        <v>241.5</v>
      </c>
      <c r="L137" s="19">
        <v>91.75</v>
      </c>
    </row>
    <row r="138" spans="4:12">
      <c r="D138" s="16">
        <v>43927.333333333336</v>
      </c>
      <c r="E138" s="17">
        <v>0.1</v>
      </c>
      <c r="F138" s="19">
        <v>3.9529809999999999E-2</v>
      </c>
      <c r="G138" s="25">
        <v>0.76191059999999999</v>
      </c>
      <c r="H138" s="19">
        <v>0.84122070000000004</v>
      </c>
      <c r="I138" s="19">
        <v>1.1468298180261627E-4</v>
      </c>
      <c r="J138" s="19">
        <v>0.77733278274536133</v>
      </c>
      <c r="K138" s="19">
        <v>241.5</v>
      </c>
      <c r="L138" s="19">
        <v>91.75</v>
      </c>
    </row>
    <row r="139" spans="4:12">
      <c r="D139" s="16">
        <v>43927.375</v>
      </c>
      <c r="E139" s="17">
        <v>0.1</v>
      </c>
      <c r="F139" s="19">
        <v>3.9529809999999999E-2</v>
      </c>
      <c r="G139" s="25">
        <v>0.79275510000000005</v>
      </c>
      <c r="H139" s="19">
        <v>0.86789170000000004</v>
      </c>
      <c r="I139" s="19">
        <v>1.1373125744285062E-4</v>
      </c>
      <c r="J139" s="19">
        <v>0.83383160829544067</v>
      </c>
      <c r="K139" s="19">
        <v>241.5</v>
      </c>
      <c r="L139" s="19">
        <v>91.75</v>
      </c>
    </row>
    <row r="140" spans="4:12">
      <c r="D140" s="16">
        <v>43927.416666666664</v>
      </c>
      <c r="E140" s="17">
        <v>0.1</v>
      </c>
      <c r="F140" s="19">
        <v>3.9529809999999999E-2</v>
      </c>
      <c r="G140" s="25">
        <v>0.87490820000000002</v>
      </c>
      <c r="H140" s="19">
        <v>0.87850209999999995</v>
      </c>
      <c r="I140" s="19">
        <v>1.1278743477305397E-4</v>
      </c>
      <c r="J140" s="19">
        <v>0.93890631198883057</v>
      </c>
      <c r="K140" s="19">
        <v>241.5</v>
      </c>
      <c r="L140" s="19">
        <v>91.75</v>
      </c>
    </row>
    <row r="141" spans="4:12">
      <c r="D141" s="16">
        <v>43927.458333333336</v>
      </c>
      <c r="E141" s="17">
        <v>0</v>
      </c>
      <c r="F141" s="19">
        <v>0</v>
      </c>
      <c r="G141" s="25">
        <v>1.002904</v>
      </c>
      <c r="H141" s="19">
        <v>0.86923309999999998</v>
      </c>
      <c r="I141" s="19">
        <v>1.1185143375769258E-4</v>
      </c>
      <c r="J141" s="19">
        <v>1.0751702785491943</v>
      </c>
      <c r="K141" s="19">
        <v>241.5</v>
      </c>
      <c r="L141" s="19">
        <v>91.75</v>
      </c>
    </row>
    <row r="142" spans="4:12">
      <c r="D142" s="16">
        <v>43927.5</v>
      </c>
      <c r="E142" s="17">
        <v>0</v>
      </c>
      <c r="F142" s="19">
        <v>0</v>
      </c>
      <c r="G142" s="25">
        <v>1.1474359999999999</v>
      </c>
      <c r="H142" s="19">
        <v>0.84454600000000002</v>
      </c>
      <c r="I142" s="19">
        <v>1.1092321074102074E-4</v>
      </c>
      <c r="J142" s="19">
        <v>1.2093288898468018</v>
      </c>
      <c r="K142" s="19">
        <v>241.5</v>
      </c>
      <c r="L142" s="19">
        <v>91.75</v>
      </c>
    </row>
    <row r="143" spans="4:12">
      <c r="D143" s="16">
        <v>43927.541666666664</v>
      </c>
      <c r="E143" s="17">
        <v>0</v>
      </c>
      <c r="F143" s="19">
        <v>0</v>
      </c>
      <c r="G143" s="25">
        <v>1.2712209999999999</v>
      </c>
      <c r="H143" s="19">
        <v>0.81544890000000003</v>
      </c>
      <c r="I143" s="19">
        <v>1.1000268568750471E-4</v>
      </c>
      <c r="J143" s="19">
        <v>1.3182477951049805</v>
      </c>
      <c r="K143" s="19">
        <v>241.5</v>
      </c>
      <c r="L143" s="19">
        <v>91.75</v>
      </c>
    </row>
    <row r="144" spans="4:12">
      <c r="D144" s="16">
        <v>43927.583333333336</v>
      </c>
      <c r="E144" s="17">
        <v>0.1</v>
      </c>
      <c r="F144" s="19">
        <v>3.9529809999999999E-2</v>
      </c>
      <c r="G144" s="25">
        <v>1.3652740000000001</v>
      </c>
      <c r="H144" s="19">
        <v>0.79190340000000004</v>
      </c>
      <c r="I144" s="19">
        <v>1.0908980038948357E-4</v>
      </c>
      <c r="J144" s="19">
        <v>1.3985106945037842</v>
      </c>
      <c r="K144" s="19">
        <v>241.5</v>
      </c>
      <c r="L144" s="19">
        <v>91.75</v>
      </c>
    </row>
    <row r="145" spans="4:12">
      <c r="D145" s="16">
        <v>43927.625</v>
      </c>
      <c r="E145" s="17">
        <v>0</v>
      </c>
      <c r="F145" s="19">
        <v>0</v>
      </c>
      <c r="G145" s="25">
        <v>1.4317470000000001</v>
      </c>
      <c r="H145" s="19">
        <v>0.77681250000000002</v>
      </c>
      <c r="I145" s="19">
        <v>1.081844893633388E-4</v>
      </c>
      <c r="J145" s="19">
        <v>1.4523142576217651</v>
      </c>
      <c r="K145" s="19">
        <v>241.5</v>
      </c>
      <c r="L145" s="19">
        <v>91.75</v>
      </c>
    </row>
    <row r="146" spans="4:12">
      <c r="D146" s="16">
        <v>43927.666666666664</v>
      </c>
      <c r="E146" s="17">
        <v>0</v>
      </c>
      <c r="F146" s="19">
        <v>0</v>
      </c>
      <c r="G146" s="25">
        <v>1.472882</v>
      </c>
      <c r="H146" s="19">
        <v>0.77160850000000003</v>
      </c>
      <c r="I146" s="19">
        <v>1.0728669440140948E-4</v>
      </c>
      <c r="J146" s="19">
        <v>1.4838205575942993</v>
      </c>
      <c r="K146" s="19">
        <v>241.5</v>
      </c>
      <c r="L146" s="19">
        <v>91.75</v>
      </c>
    </row>
    <row r="147" spans="4:12">
      <c r="D147" s="16">
        <v>43927.708333333336</v>
      </c>
      <c r="E147" s="17">
        <v>0.1</v>
      </c>
      <c r="F147" s="19">
        <v>3.9529809999999999E-2</v>
      </c>
      <c r="G147" s="25">
        <v>1.4947600000000001</v>
      </c>
      <c r="H147" s="19">
        <v>0.78437069999999998</v>
      </c>
      <c r="I147" s="19">
        <v>1.0639635002007708E-4</v>
      </c>
      <c r="J147" s="19">
        <v>1.4996567964553833</v>
      </c>
      <c r="K147" s="19">
        <v>241.5</v>
      </c>
      <c r="L147" s="19">
        <v>91.75</v>
      </c>
    </row>
    <row r="148" spans="4:12">
      <c r="D148" s="16"/>
      <c r="F148" s="19">
        <v>0</v>
      </c>
      <c r="G148" s="25">
        <v>1.5045539999999999</v>
      </c>
      <c r="H148" s="19">
        <v>0.82754399999999995</v>
      </c>
      <c r="I148" s="19">
        <v>1.0551339073572308E-4</v>
      </c>
      <c r="J148" s="19">
        <v>1.5045373439788818</v>
      </c>
      <c r="K148" s="19">
        <v>241.5</v>
      </c>
      <c r="L148" s="19">
        <v>91.75</v>
      </c>
    </row>
    <row r="149" spans="4:12">
      <c r="D149" s="16"/>
      <c r="H149" s="19">
        <v>0.90717619999999999</v>
      </c>
      <c r="I149" s="19">
        <v>1.0463775834068656E-4</v>
      </c>
    </row>
    <row r="150" spans="4:12">
      <c r="D150" s="16"/>
      <c r="H150" s="19">
        <v>1.014794</v>
      </c>
      <c r="I150" s="19">
        <v>1.0376939462730661E-4</v>
      </c>
    </row>
    <row r="151" spans="4:12">
      <c r="D151" s="16"/>
      <c r="H151" s="19">
        <v>1.1312770000000001</v>
      </c>
      <c r="I151" s="19">
        <v>1.0290824138792232E-4</v>
      </c>
    </row>
    <row r="152" spans="4:12">
      <c r="D152" s="16"/>
      <c r="H152" s="19">
        <v>1.23895</v>
      </c>
      <c r="I152" s="19">
        <v>1.0205422586295754E-4</v>
      </c>
    </row>
    <row r="153" spans="4:12">
      <c r="D153" s="16"/>
      <c r="H153" s="19">
        <v>1.3282620000000001</v>
      </c>
      <c r="I153" s="19">
        <v>1.0120730439666659E-4</v>
      </c>
    </row>
    <row r="154" spans="4:12">
      <c r="D154" s="16"/>
      <c r="H154" s="19">
        <v>1.3958870000000001</v>
      </c>
    </row>
    <row r="155" spans="4:12">
      <c r="D155" s="16"/>
      <c r="H155" s="19">
        <v>1.4426810000000001</v>
      </c>
    </row>
    <row r="156" spans="4:12">
      <c r="D156" s="16"/>
      <c r="H156" s="19">
        <v>1.472054</v>
      </c>
    </row>
    <row r="157" spans="4:12">
      <c r="D157" s="16"/>
      <c r="H157" s="19">
        <v>1.487514</v>
      </c>
    </row>
    <row r="158" spans="4:12">
      <c r="D158" s="16"/>
    </row>
    <row r="159" spans="4:12">
      <c r="D159" s="16"/>
    </row>
    <row r="160" spans="4:12">
      <c r="D160" s="16"/>
    </row>
    <row r="161" spans="4:4">
      <c r="D161" s="16"/>
    </row>
    <row r="162" spans="4:4">
      <c r="D162" s="16"/>
    </row>
    <row r="163" spans="4:4">
      <c r="D163" s="16"/>
    </row>
    <row r="164" spans="4:4">
      <c r="D164" s="16"/>
    </row>
    <row r="165" spans="4:4">
      <c r="D165" s="16"/>
    </row>
    <row r="166" spans="4:4">
      <c r="D166" s="16"/>
    </row>
    <row r="167" spans="4:4">
      <c r="D167" s="16"/>
    </row>
    <row r="168" spans="4:4">
      <c r="D168" s="16"/>
    </row>
    <row r="169" spans="4:4">
      <c r="D169" s="16"/>
    </row>
    <row r="170" spans="4:4">
      <c r="D170" s="16"/>
    </row>
    <row r="171" spans="4:4">
      <c r="D171" s="16"/>
    </row>
    <row r="172" spans="4:4">
      <c r="D172" s="16"/>
    </row>
    <row r="173" spans="4:4">
      <c r="D173" s="16"/>
    </row>
    <row r="174" spans="4:4">
      <c r="D174" s="16"/>
    </row>
    <row r="175" spans="4:4">
      <c r="D175" s="16"/>
    </row>
    <row r="176" spans="4:4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9">
    <mergeCell ref="L1:L2"/>
    <mergeCell ref="D1:D2"/>
    <mergeCell ref="E1:E2"/>
    <mergeCell ref="J1:J2"/>
    <mergeCell ref="K1:K2"/>
    <mergeCell ref="I1:I2"/>
    <mergeCell ref="F1:F2"/>
    <mergeCell ref="H1:H2"/>
    <mergeCell ref="G1:G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7" r:id="rId4" name="CommandButton3"/>
    <control shapeId="1025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48"/>
  <sheetViews>
    <sheetView workbookViewId="0">
      <selection activeCell="O13" sqref="O13"/>
    </sheetView>
  </sheetViews>
  <sheetFormatPr defaultRowHeight="13.5"/>
  <cols>
    <col min="1" max="1" width="13.75" bestFit="1" customWidth="1"/>
    <col min="6" max="6" width="9.125" style="18" customWidth="1"/>
    <col min="7" max="7" width="13.75" style="19" bestFit="1" customWidth="1"/>
    <col min="8" max="8" width="12" style="25" bestFit="1" customWidth="1"/>
    <col min="10" max="11" width="9" style="35"/>
  </cols>
  <sheetData>
    <row r="1" spans="1:11" ht="14.25" thickBot="1">
      <c r="F1" s="40" t="s">
        <v>3</v>
      </c>
      <c r="G1" s="46" t="s">
        <v>17</v>
      </c>
      <c r="H1" s="48" t="s">
        <v>4</v>
      </c>
    </row>
    <row r="2" spans="1:11" ht="14.25" thickBot="1">
      <c r="A2" s="36" t="s">
        <v>2</v>
      </c>
      <c r="B2" s="36" t="s">
        <v>22</v>
      </c>
      <c r="C2" s="36" t="s">
        <v>23</v>
      </c>
      <c r="D2" s="36" t="s">
        <v>24</v>
      </c>
      <c r="F2" s="41"/>
      <c r="G2" s="47"/>
      <c r="H2" s="49"/>
    </row>
    <row r="3" spans="1:11" ht="14.25" thickBot="1">
      <c r="A3" s="31">
        <v>43921.708333333336</v>
      </c>
      <c r="B3" s="32">
        <v>0</v>
      </c>
      <c r="C3" s="32">
        <v>0</v>
      </c>
      <c r="D3" s="32"/>
      <c r="F3" s="17">
        <v>0</v>
      </c>
      <c r="G3" s="19">
        <v>-1.095107E-7</v>
      </c>
      <c r="H3" s="25">
        <v>-2.3086779999999999E-7</v>
      </c>
      <c r="I3" s="34">
        <f>B3-F3</f>
        <v>0</v>
      </c>
      <c r="J3" s="35">
        <f t="shared" ref="J3:K3" si="0">C3-G3</f>
        <v>1.095107E-7</v>
      </c>
      <c r="K3" s="35">
        <f t="shared" si="0"/>
        <v>2.3086779999999999E-7</v>
      </c>
    </row>
    <row r="4" spans="1:11" ht="14.25" thickBot="1">
      <c r="A4" s="31">
        <v>43921.75</v>
      </c>
      <c r="B4" s="32">
        <v>0.3</v>
      </c>
      <c r="C4" s="32">
        <v>0.1187</v>
      </c>
      <c r="D4" s="32"/>
      <c r="F4" s="17">
        <v>0.3</v>
      </c>
      <c r="G4" s="21">
        <v>0.1186999</v>
      </c>
      <c r="H4" s="26">
        <v>0.2502394</v>
      </c>
      <c r="I4" s="34">
        <f t="shared" ref="I4:I67" si="1">B4-F4</f>
        <v>0</v>
      </c>
      <c r="J4" s="35">
        <f t="shared" ref="J4:J67" si="2">C4-G4</f>
        <v>1.0000000000287557E-7</v>
      </c>
      <c r="K4" s="35">
        <f t="shared" ref="K4:K67" si="3">D4-H4</f>
        <v>-0.2502394</v>
      </c>
    </row>
    <row r="5" spans="1:11" ht="14.25" thickBot="1">
      <c r="A5" s="31">
        <v>43921.791666666664</v>
      </c>
      <c r="B5" s="32">
        <v>0.4</v>
      </c>
      <c r="C5" s="32">
        <v>0.15834000000000001</v>
      </c>
      <c r="D5" s="32">
        <v>1</v>
      </c>
      <c r="F5" s="17">
        <v>0.4</v>
      </c>
      <c r="G5" s="21">
        <v>0.15834000000000001</v>
      </c>
      <c r="H5" s="26">
        <v>1.2679659999999999</v>
      </c>
      <c r="I5" s="34">
        <f t="shared" si="1"/>
        <v>0</v>
      </c>
      <c r="J5" s="35">
        <f t="shared" si="2"/>
        <v>0</v>
      </c>
      <c r="K5" s="35">
        <f t="shared" si="3"/>
        <v>-0.26796599999999993</v>
      </c>
    </row>
    <row r="6" spans="1:11" ht="14.25" thickBot="1">
      <c r="A6" s="31">
        <v>43921.833333333336</v>
      </c>
      <c r="B6" s="32">
        <v>0</v>
      </c>
      <c r="C6" s="32">
        <v>0</v>
      </c>
      <c r="D6" s="32">
        <v>3</v>
      </c>
      <c r="F6" s="17">
        <v>0</v>
      </c>
      <c r="G6" s="19">
        <v>-1.095107E-7</v>
      </c>
      <c r="H6" s="25">
        <v>3.2917879999999999</v>
      </c>
      <c r="I6" s="34">
        <f t="shared" si="1"/>
        <v>0</v>
      </c>
      <c r="J6" s="35">
        <f t="shared" si="2"/>
        <v>1.095107E-7</v>
      </c>
      <c r="K6" s="35">
        <f t="shared" si="3"/>
        <v>-0.29178799999999994</v>
      </c>
    </row>
    <row r="7" spans="1:11" ht="14.25" thickBot="1">
      <c r="A7" s="31">
        <v>43921.875</v>
      </c>
      <c r="B7" s="32">
        <v>0</v>
      </c>
      <c r="C7" s="32">
        <v>0</v>
      </c>
      <c r="D7" s="32">
        <v>6</v>
      </c>
      <c r="F7" s="17">
        <v>0</v>
      </c>
      <c r="G7" s="19">
        <v>-1.095107E-7</v>
      </c>
      <c r="H7" s="25">
        <v>6.0142189999999998</v>
      </c>
      <c r="I7" s="34">
        <f t="shared" si="1"/>
        <v>0</v>
      </c>
      <c r="J7" s="35">
        <f t="shared" si="2"/>
        <v>1.095107E-7</v>
      </c>
      <c r="K7" s="35">
        <f t="shared" si="3"/>
        <v>-1.421899999999976E-2</v>
      </c>
    </row>
    <row r="8" spans="1:11" ht="14.25" thickBot="1">
      <c r="A8" s="31">
        <v>43921.916666666664</v>
      </c>
      <c r="B8" s="32">
        <v>0</v>
      </c>
      <c r="C8" s="32">
        <v>0</v>
      </c>
      <c r="D8" s="32">
        <v>9</v>
      </c>
      <c r="F8" s="17">
        <v>0</v>
      </c>
      <c r="G8" s="19">
        <v>-1.095107E-7</v>
      </c>
      <c r="H8" s="25">
        <v>8.7788090000000008</v>
      </c>
      <c r="I8" s="34">
        <f t="shared" si="1"/>
        <v>0</v>
      </c>
      <c r="J8" s="35">
        <f t="shared" si="2"/>
        <v>1.095107E-7</v>
      </c>
      <c r="K8" s="35">
        <f t="shared" si="3"/>
        <v>0.22119099999999925</v>
      </c>
    </row>
    <row r="9" spans="1:11" ht="14.25" thickBot="1">
      <c r="A9" s="31">
        <v>43921.958333333336</v>
      </c>
      <c r="B9" s="32">
        <v>0</v>
      </c>
      <c r="C9" s="32">
        <v>0</v>
      </c>
      <c r="D9" s="32">
        <v>11</v>
      </c>
      <c r="F9" s="17">
        <v>0</v>
      </c>
      <c r="G9" s="19">
        <v>-1.095107E-7</v>
      </c>
      <c r="H9" s="25">
        <v>11.090479999999999</v>
      </c>
      <c r="I9" s="34">
        <f t="shared" si="1"/>
        <v>0</v>
      </c>
      <c r="J9" s="35">
        <f t="shared" si="2"/>
        <v>1.095107E-7</v>
      </c>
      <c r="K9" s="35">
        <f t="shared" si="3"/>
        <v>-9.047999999999945E-2</v>
      </c>
    </row>
    <row r="10" spans="1:11" ht="14.25" thickBot="1">
      <c r="A10" s="31">
        <v>43922</v>
      </c>
      <c r="B10" s="32">
        <v>0</v>
      </c>
      <c r="C10" s="32">
        <v>0</v>
      </c>
      <c r="D10" s="32">
        <v>13</v>
      </c>
      <c r="F10" s="17">
        <v>0</v>
      </c>
      <c r="G10" s="19">
        <v>-1.095107E-7</v>
      </c>
      <c r="H10" s="25">
        <v>12.691599999999999</v>
      </c>
      <c r="I10" s="34">
        <f t="shared" si="1"/>
        <v>0</v>
      </c>
      <c r="J10" s="35">
        <f t="shared" si="2"/>
        <v>1.095107E-7</v>
      </c>
      <c r="K10" s="35">
        <f t="shared" si="3"/>
        <v>0.30840000000000067</v>
      </c>
    </row>
    <row r="11" spans="1:11" ht="14.25" thickBot="1">
      <c r="A11" s="31">
        <v>43922.041666666664</v>
      </c>
      <c r="B11" s="32">
        <v>0</v>
      </c>
      <c r="C11" s="32">
        <v>0</v>
      </c>
      <c r="D11" s="32">
        <v>14</v>
      </c>
      <c r="F11" s="17">
        <v>0</v>
      </c>
      <c r="G11" s="19">
        <v>-1.095107E-7</v>
      </c>
      <c r="H11" s="25">
        <v>13.522629999999999</v>
      </c>
      <c r="I11" s="34">
        <f t="shared" si="1"/>
        <v>0</v>
      </c>
      <c r="J11" s="35">
        <f t="shared" si="2"/>
        <v>1.095107E-7</v>
      </c>
      <c r="K11" s="35">
        <f t="shared" si="3"/>
        <v>0.47737000000000052</v>
      </c>
    </row>
    <row r="12" spans="1:11" ht="14.25" thickBot="1">
      <c r="A12" s="31">
        <v>43922.083333333336</v>
      </c>
      <c r="B12" s="32">
        <v>0</v>
      </c>
      <c r="C12" s="32">
        <v>0</v>
      </c>
      <c r="D12" s="32">
        <v>14</v>
      </c>
      <c r="F12" s="17">
        <v>0</v>
      </c>
      <c r="G12" s="19">
        <v>-1.095107E-7</v>
      </c>
      <c r="H12" s="25">
        <v>13.653230000000001</v>
      </c>
      <c r="I12" s="34">
        <f t="shared" si="1"/>
        <v>0</v>
      </c>
      <c r="J12" s="35">
        <f t="shared" si="2"/>
        <v>1.095107E-7</v>
      </c>
      <c r="K12" s="35">
        <f t="shared" si="3"/>
        <v>0.34676999999999936</v>
      </c>
    </row>
    <row r="13" spans="1:11" ht="14.25" thickBot="1">
      <c r="A13" s="31">
        <v>43922.125</v>
      </c>
      <c r="B13" s="32">
        <v>0</v>
      </c>
      <c r="C13" s="32">
        <v>0</v>
      </c>
      <c r="D13" s="32">
        <v>13</v>
      </c>
      <c r="F13" s="17">
        <v>0</v>
      </c>
      <c r="G13" s="19">
        <v>-1.095107E-7</v>
      </c>
      <c r="H13" s="25">
        <v>13.21963</v>
      </c>
      <c r="I13" s="34">
        <f t="shared" si="1"/>
        <v>0</v>
      </c>
      <c r="J13" s="35">
        <f t="shared" si="2"/>
        <v>1.095107E-7</v>
      </c>
      <c r="K13" s="35">
        <f t="shared" si="3"/>
        <v>-0.21963000000000044</v>
      </c>
    </row>
    <row r="14" spans="1:11" ht="14.25" thickBot="1">
      <c r="A14" s="31">
        <v>43922.166666666664</v>
      </c>
      <c r="B14" s="32">
        <v>0</v>
      </c>
      <c r="C14" s="32">
        <v>0</v>
      </c>
      <c r="D14" s="32">
        <v>12</v>
      </c>
      <c r="F14" s="17">
        <v>0</v>
      </c>
      <c r="G14" s="19">
        <v>-1.095107E-7</v>
      </c>
      <c r="H14" s="25">
        <v>12.37876</v>
      </c>
      <c r="I14" s="34">
        <f t="shared" si="1"/>
        <v>0</v>
      </c>
      <c r="J14" s="35">
        <f t="shared" si="2"/>
        <v>1.095107E-7</v>
      </c>
      <c r="K14" s="35">
        <f t="shared" si="3"/>
        <v>-0.37875999999999976</v>
      </c>
    </row>
    <row r="15" spans="1:11" ht="14.25" thickBot="1">
      <c r="A15" s="31">
        <v>43922.208333333336</v>
      </c>
      <c r="B15" s="32">
        <v>0</v>
      </c>
      <c r="C15" s="32">
        <v>0</v>
      </c>
      <c r="D15" s="32">
        <v>11</v>
      </c>
      <c r="F15" s="17">
        <v>0</v>
      </c>
      <c r="G15" s="19">
        <v>-1.095107E-7</v>
      </c>
      <c r="H15" s="25">
        <v>11.279769999999999</v>
      </c>
      <c r="I15" s="34">
        <f t="shared" si="1"/>
        <v>0</v>
      </c>
      <c r="J15" s="35">
        <f t="shared" si="2"/>
        <v>1.095107E-7</v>
      </c>
      <c r="K15" s="35">
        <f t="shared" si="3"/>
        <v>-0.27976999999999919</v>
      </c>
    </row>
    <row r="16" spans="1:11" ht="14.25" thickBot="1">
      <c r="A16" s="31">
        <v>43922.25</v>
      </c>
      <c r="B16" s="32">
        <v>0</v>
      </c>
      <c r="C16" s="32">
        <v>0</v>
      </c>
      <c r="D16" s="32">
        <v>10</v>
      </c>
      <c r="F16" s="17">
        <v>0</v>
      </c>
      <c r="G16" s="19">
        <v>-1.095107E-7</v>
      </c>
      <c r="H16" s="25">
        <v>10.049149999999999</v>
      </c>
      <c r="I16" s="34">
        <f t="shared" si="1"/>
        <v>0</v>
      </c>
      <c r="J16" s="35">
        <f t="shared" si="2"/>
        <v>1.095107E-7</v>
      </c>
      <c r="K16" s="35">
        <f t="shared" si="3"/>
        <v>-4.9149999999999139E-2</v>
      </c>
    </row>
    <row r="17" spans="1:11" ht="14.25" thickBot="1">
      <c r="A17" s="31">
        <v>43922.291666666664</v>
      </c>
      <c r="B17" s="32">
        <v>0</v>
      </c>
      <c r="C17" s="32">
        <v>0</v>
      </c>
      <c r="D17" s="32">
        <v>9</v>
      </c>
      <c r="F17" s="17">
        <v>0</v>
      </c>
      <c r="G17" s="21">
        <v>-1.095107E-7</v>
      </c>
      <c r="H17" s="26">
        <v>8.7853519999999996</v>
      </c>
      <c r="I17" s="34">
        <f t="shared" si="1"/>
        <v>0</v>
      </c>
      <c r="J17" s="35">
        <f t="shared" si="2"/>
        <v>1.095107E-7</v>
      </c>
      <c r="K17" s="35">
        <f t="shared" si="3"/>
        <v>0.21464800000000039</v>
      </c>
    </row>
    <row r="18" spans="1:11" ht="14.25" thickBot="1">
      <c r="A18" s="31">
        <v>43922.333333333336</v>
      </c>
      <c r="B18" s="32">
        <v>0</v>
      </c>
      <c r="C18" s="32">
        <v>0</v>
      </c>
      <c r="D18" s="32">
        <v>8</v>
      </c>
      <c r="F18" s="17">
        <v>0</v>
      </c>
      <c r="G18" s="19">
        <v>-1.095107E-7</v>
      </c>
      <c r="H18" s="25">
        <v>7.559075</v>
      </c>
      <c r="I18" s="34">
        <f t="shared" si="1"/>
        <v>0</v>
      </c>
      <c r="J18" s="35">
        <f t="shared" si="2"/>
        <v>1.095107E-7</v>
      </c>
      <c r="K18" s="35">
        <f t="shared" si="3"/>
        <v>0.44092500000000001</v>
      </c>
    </row>
    <row r="19" spans="1:11" ht="14.25" thickBot="1">
      <c r="A19" s="31">
        <v>43922.375</v>
      </c>
      <c r="B19" s="32">
        <v>0</v>
      </c>
      <c r="C19" s="32">
        <v>0</v>
      </c>
      <c r="D19" s="32">
        <v>6</v>
      </c>
      <c r="F19" s="17">
        <v>0</v>
      </c>
      <c r="G19" s="19">
        <v>-1.095107E-7</v>
      </c>
      <c r="H19" s="25">
        <v>6.4167459999999998</v>
      </c>
      <c r="I19" s="34">
        <f t="shared" si="1"/>
        <v>0</v>
      </c>
      <c r="J19" s="35">
        <f t="shared" si="2"/>
        <v>1.095107E-7</v>
      </c>
      <c r="K19" s="35">
        <f t="shared" si="3"/>
        <v>-0.41674599999999984</v>
      </c>
    </row>
    <row r="20" spans="1:11" ht="14.25" thickBot="1">
      <c r="A20" s="31">
        <v>43922.416666666664</v>
      </c>
      <c r="B20" s="32">
        <v>0</v>
      </c>
      <c r="C20" s="32">
        <v>0</v>
      </c>
      <c r="D20" s="32">
        <v>5</v>
      </c>
      <c r="F20" s="17">
        <v>0</v>
      </c>
      <c r="G20" s="19">
        <v>-1.095107E-7</v>
      </c>
      <c r="H20" s="25">
        <v>5.3851370000000003</v>
      </c>
      <c r="I20" s="34">
        <f t="shared" si="1"/>
        <v>0</v>
      </c>
      <c r="J20" s="35">
        <f t="shared" si="2"/>
        <v>1.095107E-7</v>
      </c>
      <c r="K20" s="35">
        <f t="shared" si="3"/>
        <v>-0.38513700000000028</v>
      </c>
    </row>
    <row r="21" spans="1:11" ht="14.25" thickBot="1">
      <c r="A21" s="31">
        <v>43922.458333333336</v>
      </c>
      <c r="B21" s="32">
        <v>0</v>
      </c>
      <c r="C21" s="32">
        <v>0</v>
      </c>
      <c r="D21" s="32">
        <v>4</v>
      </c>
      <c r="F21" s="17">
        <v>0</v>
      </c>
      <c r="G21" s="19">
        <v>-1.095107E-7</v>
      </c>
      <c r="H21" s="25">
        <v>4.4761499999999996</v>
      </c>
      <c r="I21" s="34">
        <f t="shared" si="1"/>
        <v>0</v>
      </c>
      <c r="J21" s="35">
        <f t="shared" si="2"/>
        <v>1.095107E-7</v>
      </c>
      <c r="K21" s="35">
        <f t="shared" si="3"/>
        <v>-0.47614999999999963</v>
      </c>
    </row>
    <row r="22" spans="1:11" ht="14.25" thickBot="1">
      <c r="A22" s="31">
        <v>43922.5</v>
      </c>
      <c r="B22" s="32">
        <v>0</v>
      </c>
      <c r="C22" s="32">
        <v>0</v>
      </c>
      <c r="D22" s="32">
        <v>4</v>
      </c>
      <c r="F22" s="17">
        <v>0</v>
      </c>
      <c r="G22" s="19">
        <v>-1.095107E-7</v>
      </c>
      <c r="H22" s="25">
        <v>3.691119</v>
      </c>
      <c r="I22" s="34">
        <f t="shared" si="1"/>
        <v>0</v>
      </c>
      <c r="J22" s="35">
        <f t="shared" si="2"/>
        <v>1.095107E-7</v>
      </c>
      <c r="K22" s="35">
        <f t="shared" si="3"/>
        <v>0.30888099999999996</v>
      </c>
    </row>
    <row r="23" spans="1:11" ht="14.25" thickBot="1">
      <c r="A23" s="31">
        <v>43922.541666666664</v>
      </c>
      <c r="B23" s="32">
        <v>0</v>
      </c>
      <c r="C23" s="32">
        <v>0</v>
      </c>
      <c r="D23" s="32">
        <v>3</v>
      </c>
      <c r="F23" s="17">
        <v>0</v>
      </c>
      <c r="G23" s="19">
        <v>-1.095107E-7</v>
      </c>
      <c r="H23" s="25">
        <v>3.024394</v>
      </c>
      <c r="I23" s="34">
        <f t="shared" si="1"/>
        <v>0</v>
      </c>
      <c r="J23" s="35">
        <f t="shared" si="2"/>
        <v>1.095107E-7</v>
      </c>
      <c r="K23" s="35">
        <f t="shared" si="3"/>
        <v>-2.4394000000000027E-2</v>
      </c>
    </row>
    <row r="24" spans="1:11" ht="14.25" thickBot="1">
      <c r="A24" s="31">
        <v>43922.583333333336</v>
      </c>
      <c r="B24" s="32">
        <v>0</v>
      </c>
      <c r="C24" s="32">
        <v>0</v>
      </c>
      <c r="D24" s="32">
        <v>2</v>
      </c>
      <c r="F24" s="17">
        <v>0</v>
      </c>
      <c r="G24" s="19">
        <v>-1.095107E-7</v>
      </c>
      <c r="H24" s="25">
        <v>2.4661270000000002</v>
      </c>
      <c r="I24" s="34">
        <f t="shared" si="1"/>
        <v>0</v>
      </c>
      <c r="J24" s="35">
        <f t="shared" si="2"/>
        <v>1.095107E-7</v>
      </c>
      <c r="K24" s="35">
        <f t="shared" si="3"/>
        <v>-0.46612700000000018</v>
      </c>
    </row>
    <row r="25" spans="1:11" ht="14.25" thickBot="1">
      <c r="A25" s="31">
        <v>43922.625</v>
      </c>
      <c r="B25" s="32">
        <v>0</v>
      </c>
      <c r="C25" s="32">
        <v>0</v>
      </c>
      <c r="D25" s="32">
        <v>2</v>
      </c>
      <c r="F25" s="17">
        <v>0</v>
      </c>
      <c r="G25" s="19">
        <v>-1.095107E-7</v>
      </c>
      <c r="H25" s="25">
        <v>2.0043479999999998</v>
      </c>
      <c r="I25" s="34">
        <f t="shared" si="1"/>
        <v>0</v>
      </c>
      <c r="J25" s="35">
        <f t="shared" si="2"/>
        <v>1.095107E-7</v>
      </c>
      <c r="K25" s="35">
        <f t="shared" si="3"/>
        <v>-4.3479999999997965E-3</v>
      </c>
    </row>
    <row r="26" spans="1:11" ht="14.25" thickBot="1">
      <c r="A26" s="31">
        <v>43922.666666666664</v>
      </c>
      <c r="B26" s="32">
        <v>0</v>
      </c>
      <c r="C26" s="32">
        <v>0</v>
      </c>
      <c r="D26" s="32">
        <v>2</v>
      </c>
      <c r="F26" s="17">
        <v>0</v>
      </c>
      <c r="G26" s="19">
        <v>-1.095107E-7</v>
      </c>
      <c r="H26" s="25">
        <v>1.6264069999999999</v>
      </c>
      <c r="I26" s="34">
        <f t="shared" si="1"/>
        <v>0</v>
      </c>
      <c r="J26" s="35">
        <f t="shared" si="2"/>
        <v>1.095107E-7</v>
      </c>
      <c r="K26" s="35">
        <f t="shared" si="3"/>
        <v>0.37359300000000006</v>
      </c>
    </row>
    <row r="27" spans="1:11" ht="14.25" thickBot="1">
      <c r="A27" s="31">
        <v>43922.708333333336</v>
      </c>
      <c r="B27" s="32">
        <v>0</v>
      </c>
      <c r="C27" s="32">
        <v>0</v>
      </c>
      <c r="D27" s="32">
        <v>1</v>
      </c>
      <c r="F27" s="17">
        <v>0</v>
      </c>
      <c r="G27" s="19">
        <v>-1.095107E-7</v>
      </c>
      <c r="H27" s="25">
        <v>1.319941</v>
      </c>
      <c r="I27" s="34">
        <f t="shared" si="1"/>
        <v>0</v>
      </c>
      <c r="J27" s="35">
        <f t="shared" si="2"/>
        <v>1.095107E-7</v>
      </c>
      <c r="K27" s="35">
        <f t="shared" si="3"/>
        <v>-0.31994100000000003</v>
      </c>
    </row>
    <row r="28" spans="1:11" ht="14.25" thickBot="1">
      <c r="A28" s="31">
        <v>43922.75</v>
      </c>
      <c r="B28" s="32">
        <v>0</v>
      </c>
      <c r="C28" s="32">
        <v>0</v>
      </c>
      <c r="D28" s="32">
        <v>1</v>
      </c>
      <c r="F28" s="17">
        <v>0</v>
      </c>
      <c r="G28" s="19">
        <v>-1.095107E-7</v>
      </c>
      <c r="H28" s="25">
        <v>1.073455</v>
      </c>
      <c r="I28" s="34">
        <f t="shared" si="1"/>
        <v>0</v>
      </c>
      <c r="J28" s="35">
        <f t="shared" si="2"/>
        <v>1.095107E-7</v>
      </c>
      <c r="K28" s="35">
        <f t="shared" si="3"/>
        <v>-7.3455000000000048E-2</v>
      </c>
    </row>
    <row r="29" spans="1:11" ht="14.25" thickBot="1">
      <c r="A29" s="31">
        <v>43922.791666666664</v>
      </c>
      <c r="B29" s="32">
        <v>0</v>
      </c>
      <c r="C29" s="32">
        <v>0</v>
      </c>
      <c r="D29" s="32">
        <v>1</v>
      </c>
      <c r="F29" s="17">
        <v>0</v>
      </c>
      <c r="G29" s="19">
        <v>-1.095107E-7</v>
      </c>
      <c r="H29" s="25">
        <v>0.87663480000000005</v>
      </c>
      <c r="I29" s="34">
        <f t="shared" si="1"/>
        <v>0</v>
      </c>
      <c r="J29" s="35">
        <f t="shared" si="2"/>
        <v>1.095107E-7</v>
      </c>
      <c r="K29" s="35">
        <f t="shared" si="3"/>
        <v>0.12336519999999995</v>
      </c>
    </row>
    <row r="30" spans="1:11" ht="14.25" thickBot="1">
      <c r="A30" s="31">
        <v>43922.833333333336</v>
      </c>
      <c r="B30" s="32">
        <v>0</v>
      </c>
      <c r="C30" s="32">
        <v>0</v>
      </c>
      <c r="D30" s="32">
        <v>1</v>
      </c>
      <c r="F30" s="17">
        <v>0</v>
      </c>
      <c r="G30" s="19">
        <v>-1.095107E-7</v>
      </c>
      <c r="H30" s="25">
        <v>0.72047000000000005</v>
      </c>
      <c r="I30" s="34">
        <f t="shared" si="1"/>
        <v>0</v>
      </c>
      <c r="J30" s="35">
        <f t="shared" si="2"/>
        <v>1.095107E-7</v>
      </c>
      <c r="K30" s="35">
        <f t="shared" si="3"/>
        <v>0.27952999999999995</v>
      </c>
    </row>
    <row r="31" spans="1:11" ht="14.25" thickBot="1">
      <c r="A31" s="31">
        <v>43922.875</v>
      </c>
      <c r="B31" s="32">
        <v>0</v>
      </c>
      <c r="C31" s="32">
        <v>0</v>
      </c>
      <c r="D31" s="32">
        <v>1</v>
      </c>
      <c r="F31" s="17">
        <v>0</v>
      </c>
      <c r="G31" s="19">
        <v>-1.095107E-7</v>
      </c>
      <c r="H31" s="25">
        <v>0.59725379999999995</v>
      </c>
      <c r="I31" s="34">
        <f t="shared" si="1"/>
        <v>0</v>
      </c>
      <c r="J31" s="35">
        <f t="shared" si="2"/>
        <v>1.095107E-7</v>
      </c>
      <c r="K31" s="35">
        <f t="shared" si="3"/>
        <v>0.40274620000000005</v>
      </c>
    </row>
    <row r="32" spans="1:11" ht="14.25" thickBot="1">
      <c r="A32" s="31">
        <v>43922.916666666664</v>
      </c>
      <c r="B32" s="32">
        <v>0</v>
      </c>
      <c r="C32" s="32">
        <v>0</v>
      </c>
      <c r="D32" s="32"/>
      <c r="F32" s="17">
        <v>0</v>
      </c>
      <c r="G32" s="19">
        <v>-1.095107E-7</v>
      </c>
      <c r="H32" s="25">
        <v>0.50050689999999998</v>
      </c>
      <c r="I32" s="34">
        <f t="shared" si="1"/>
        <v>0</v>
      </c>
      <c r="J32" s="35">
        <f t="shared" si="2"/>
        <v>1.095107E-7</v>
      </c>
      <c r="K32" s="35">
        <f t="shared" si="3"/>
        <v>-0.50050689999999998</v>
      </c>
    </row>
    <row r="33" spans="1:11" ht="14.25" thickBot="1">
      <c r="A33" s="31">
        <v>43922.958333333336</v>
      </c>
      <c r="B33" s="32">
        <v>0</v>
      </c>
      <c r="C33" s="32">
        <v>0</v>
      </c>
      <c r="D33" s="32"/>
      <c r="F33" s="17">
        <v>0</v>
      </c>
      <c r="G33" s="19">
        <v>-1.095107E-7</v>
      </c>
      <c r="H33" s="25">
        <v>0.42485889999999998</v>
      </c>
      <c r="I33" s="34">
        <f t="shared" si="1"/>
        <v>0</v>
      </c>
      <c r="J33" s="35">
        <f t="shared" si="2"/>
        <v>1.095107E-7</v>
      </c>
      <c r="K33" s="35">
        <f t="shared" si="3"/>
        <v>-0.42485889999999998</v>
      </c>
    </row>
    <row r="34" spans="1:11" ht="14.25" thickBot="1">
      <c r="A34" s="31">
        <v>43923</v>
      </c>
      <c r="B34" s="32">
        <v>0</v>
      </c>
      <c r="C34" s="32">
        <v>0</v>
      </c>
      <c r="D34" s="32"/>
      <c r="F34" s="17">
        <v>0</v>
      </c>
      <c r="G34" s="19">
        <v>-1.095107E-7</v>
      </c>
      <c r="H34" s="25">
        <v>0.36591210000000002</v>
      </c>
      <c r="I34" s="34">
        <f t="shared" si="1"/>
        <v>0</v>
      </c>
      <c r="J34" s="35">
        <f t="shared" si="2"/>
        <v>1.095107E-7</v>
      </c>
      <c r="K34" s="35">
        <f t="shared" si="3"/>
        <v>-0.36591210000000002</v>
      </c>
    </row>
    <row r="35" spans="1:11" ht="14.25" thickBot="1">
      <c r="A35" s="31">
        <v>43923.041666666664</v>
      </c>
      <c r="B35" s="32">
        <v>2</v>
      </c>
      <c r="C35" s="32">
        <v>0.79753200000000002</v>
      </c>
      <c r="D35" s="32">
        <v>2</v>
      </c>
      <c r="F35" s="17">
        <v>2</v>
      </c>
      <c r="G35" s="19">
        <v>0.79753240000000003</v>
      </c>
      <c r="H35" s="25">
        <v>2.0014409999999998</v>
      </c>
      <c r="I35" s="34">
        <f t="shared" si="1"/>
        <v>0</v>
      </c>
      <c r="J35" s="35">
        <f t="shared" si="2"/>
        <v>-4.0000000001150227E-7</v>
      </c>
      <c r="K35" s="35">
        <f t="shared" si="3"/>
        <v>-1.4409999999998035E-3</v>
      </c>
    </row>
    <row r="36" spans="1:11" ht="14.25" thickBot="1">
      <c r="A36" s="31">
        <v>43923.083333333336</v>
      </c>
      <c r="B36" s="32">
        <v>0.5</v>
      </c>
      <c r="C36" s="32">
        <v>0.198017</v>
      </c>
      <c r="D36" s="32">
        <v>7</v>
      </c>
      <c r="F36" s="17">
        <v>0.5</v>
      </c>
      <c r="G36" s="19">
        <v>0.19801669999999999</v>
      </c>
      <c r="H36" s="25">
        <v>6.9785450000000004</v>
      </c>
      <c r="I36" s="34">
        <f t="shared" si="1"/>
        <v>0</v>
      </c>
      <c r="J36" s="35">
        <f t="shared" si="2"/>
        <v>3.000000000086267E-7</v>
      </c>
      <c r="K36" s="35">
        <f t="shared" si="3"/>
        <v>2.1454999999999558E-2</v>
      </c>
    </row>
    <row r="37" spans="1:11" ht="14.25" thickBot="1">
      <c r="A37" s="31">
        <v>43923.125</v>
      </c>
      <c r="B37" s="32">
        <v>0.4</v>
      </c>
      <c r="C37" s="32">
        <v>0.15834000000000001</v>
      </c>
      <c r="D37" s="32">
        <v>16</v>
      </c>
      <c r="F37" s="17">
        <v>0.4</v>
      </c>
      <c r="G37" s="19">
        <v>0.15834000000000001</v>
      </c>
      <c r="H37" s="25">
        <v>15.89385</v>
      </c>
      <c r="I37" s="34">
        <f t="shared" si="1"/>
        <v>0</v>
      </c>
      <c r="J37" s="35">
        <f t="shared" si="2"/>
        <v>0</v>
      </c>
      <c r="K37" s="35">
        <f t="shared" si="3"/>
        <v>0.10614999999999952</v>
      </c>
    </row>
    <row r="38" spans="1:11" ht="14.25" thickBot="1">
      <c r="A38" s="31">
        <v>43923.166666666664</v>
      </c>
      <c r="B38" s="32">
        <v>0.6</v>
      </c>
      <c r="C38" s="32">
        <v>0.23773</v>
      </c>
      <c r="D38" s="32">
        <v>27</v>
      </c>
      <c r="F38" s="17">
        <v>0.6</v>
      </c>
      <c r="G38" s="19">
        <v>0.2377301</v>
      </c>
      <c r="H38" s="25">
        <v>27.46988</v>
      </c>
      <c r="I38" s="34">
        <f t="shared" si="1"/>
        <v>0</v>
      </c>
      <c r="J38" s="35">
        <f t="shared" si="2"/>
        <v>-1.0000000000287557E-7</v>
      </c>
      <c r="K38" s="35">
        <f t="shared" si="3"/>
        <v>-0.46987999999999985</v>
      </c>
    </row>
    <row r="39" spans="1:11" ht="14.25" thickBot="1">
      <c r="A39" s="31">
        <v>43923.208333333336</v>
      </c>
      <c r="B39" s="32">
        <v>0.6</v>
      </c>
      <c r="C39" s="32">
        <v>0.23773</v>
      </c>
      <c r="D39" s="32">
        <v>40</v>
      </c>
      <c r="F39" s="17">
        <v>0.6</v>
      </c>
      <c r="G39" s="19">
        <v>0.2377301</v>
      </c>
      <c r="H39" s="25">
        <v>40.338720000000002</v>
      </c>
      <c r="I39" s="34">
        <f t="shared" si="1"/>
        <v>0</v>
      </c>
      <c r="J39" s="35">
        <f t="shared" si="2"/>
        <v>-1.0000000000287557E-7</v>
      </c>
      <c r="K39" s="35">
        <f t="shared" si="3"/>
        <v>-0.33872000000000213</v>
      </c>
    </row>
    <row r="40" spans="1:11" ht="14.25" thickBot="1">
      <c r="A40" s="31">
        <v>43923.25</v>
      </c>
      <c r="B40" s="32">
        <v>0.6</v>
      </c>
      <c r="C40" s="32">
        <v>0.23773</v>
      </c>
      <c r="D40" s="32">
        <v>54</v>
      </c>
      <c r="F40" s="17">
        <v>0.6</v>
      </c>
      <c r="G40" s="19">
        <v>0.2377301</v>
      </c>
      <c r="H40" s="25">
        <v>53.505450000000003</v>
      </c>
      <c r="I40" s="34">
        <f t="shared" si="1"/>
        <v>0</v>
      </c>
      <c r="J40" s="35">
        <f t="shared" si="2"/>
        <v>-1.0000000000287557E-7</v>
      </c>
      <c r="K40" s="35">
        <f t="shared" si="3"/>
        <v>0.49454999999999671</v>
      </c>
    </row>
    <row r="41" spans="1:11" ht="14.25" thickBot="1">
      <c r="A41" s="31">
        <v>43923.291666666664</v>
      </c>
      <c r="B41" s="32">
        <v>0.2</v>
      </c>
      <c r="C41" s="32">
        <v>7.9097000000000001E-2</v>
      </c>
      <c r="D41" s="32">
        <v>66</v>
      </c>
      <c r="F41" s="17">
        <v>0.2</v>
      </c>
      <c r="G41" s="19">
        <v>7.90965E-2</v>
      </c>
      <c r="H41" s="25">
        <v>65.927189999999996</v>
      </c>
      <c r="I41" s="34">
        <f t="shared" si="1"/>
        <v>0</v>
      </c>
      <c r="J41" s="35">
        <f t="shared" si="2"/>
        <v>5.0000000000050004E-7</v>
      </c>
      <c r="K41" s="35">
        <f t="shared" si="3"/>
        <v>7.2810000000004038E-2</v>
      </c>
    </row>
    <row r="42" spans="1:11" ht="14.25" thickBot="1">
      <c r="A42" s="31">
        <v>43923.333333333336</v>
      </c>
      <c r="B42" s="32">
        <v>0.6</v>
      </c>
      <c r="C42" s="32">
        <v>0.23773</v>
      </c>
      <c r="D42" s="32">
        <v>77</v>
      </c>
      <c r="F42" s="17">
        <v>0.6</v>
      </c>
      <c r="G42" s="19">
        <v>0.2377301</v>
      </c>
      <c r="H42" s="25">
        <v>76.896000000000001</v>
      </c>
      <c r="I42" s="34">
        <f t="shared" si="1"/>
        <v>0</v>
      </c>
      <c r="J42" s="35">
        <f t="shared" si="2"/>
        <v>-1.0000000000287557E-7</v>
      </c>
      <c r="K42" s="35">
        <f t="shared" si="3"/>
        <v>0.1039999999999992</v>
      </c>
    </row>
    <row r="43" spans="1:11" ht="14.25" thickBot="1">
      <c r="A43" s="31">
        <v>43923.375</v>
      </c>
      <c r="B43" s="32">
        <v>2.6</v>
      </c>
      <c r="C43" s="32">
        <v>1.039609</v>
      </c>
      <c r="D43" s="32">
        <v>88</v>
      </c>
      <c r="F43" s="17">
        <v>2.6</v>
      </c>
      <c r="G43" s="19">
        <v>1.039609</v>
      </c>
      <c r="H43" s="25">
        <v>87.8446</v>
      </c>
      <c r="I43" s="34">
        <f t="shared" si="1"/>
        <v>0</v>
      </c>
      <c r="J43" s="35">
        <f t="shared" si="2"/>
        <v>0</v>
      </c>
      <c r="K43" s="35">
        <f t="shared" si="3"/>
        <v>0.1554000000000002</v>
      </c>
    </row>
    <row r="44" spans="1:11" ht="14.25" thickBot="1">
      <c r="A44" s="31">
        <v>43923.416666666664</v>
      </c>
      <c r="B44" s="32">
        <v>2.8</v>
      </c>
      <c r="C44" s="32">
        <v>1.120587</v>
      </c>
      <c r="D44" s="32">
        <v>102</v>
      </c>
      <c r="F44" s="17">
        <v>2.8</v>
      </c>
      <c r="G44" s="19">
        <v>1.120587</v>
      </c>
      <c r="H44" s="25">
        <v>102.15600000000001</v>
      </c>
      <c r="I44" s="34">
        <f t="shared" si="1"/>
        <v>0</v>
      </c>
      <c r="J44" s="35">
        <f t="shared" si="2"/>
        <v>0</v>
      </c>
      <c r="K44" s="35">
        <f t="shared" si="3"/>
        <v>-0.15600000000000591</v>
      </c>
    </row>
    <row r="45" spans="1:11" ht="14.25" thickBot="1">
      <c r="A45" s="31">
        <v>43923.458333333336</v>
      </c>
      <c r="B45" s="32">
        <v>1.8</v>
      </c>
      <c r="C45" s="32">
        <v>0.71712699999999996</v>
      </c>
      <c r="D45" s="32">
        <v>123</v>
      </c>
      <c r="F45" s="17">
        <v>1.8</v>
      </c>
      <c r="G45" s="19">
        <v>0.71712690000000001</v>
      </c>
      <c r="H45" s="25">
        <v>122.496</v>
      </c>
      <c r="I45" s="34">
        <f t="shared" si="1"/>
        <v>0</v>
      </c>
      <c r="J45" s="35">
        <f t="shared" si="2"/>
        <v>9.9999999947364415E-8</v>
      </c>
      <c r="K45" s="35">
        <f t="shared" si="3"/>
        <v>0.50400000000000489</v>
      </c>
    </row>
    <row r="46" spans="1:11" ht="14.25" thickBot="1">
      <c r="A46" s="31">
        <v>43923.5</v>
      </c>
      <c r="B46" s="32">
        <v>2.2999999999999998</v>
      </c>
      <c r="C46" s="32">
        <v>0.91840999999999995</v>
      </c>
      <c r="D46" s="32">
        <v>149</v>
      </c>
      <c r="F46" s="17">
        <v>2.2999999999999998</v>
      </c>
      <c r="G46" s="19">
        <v>0.91840980000000005</v>
      </c>
      <c r="H46" s="25">
        <v>149.23400000000001</v>
      </c>
      <c r="I46" s="34">
        <f t="shared" si="1"/>
        <v>0</v>
      </c>
      <c r="J46" s="35">
        <f t="shared" si="2"/>
        <v>1.9999999989472883E-7</v>
      </c>
      <c r="K46" s="35">
        <f t="shared" si="3"/>
        <v>-0.23400000000000887</v>
      </c>
    </row>
    <row r="47" spans="1:11" ht="14.25" thickBot="1">
      <c r="A47" s="31">
        <v>43923.541666666664</v>
      </c>
      <c r="B47" s="32">
        <v>2.8</v>
      </c>
      <c r="C47" s="32">
        <v>1.120587</v>
      </c>
      <c r="D47" s="32">
        <v>181</v>
      </c>
      <c r="F47" s="17">
        <v>2.8</v>
      </c>
      <c r="G47" s="19">
        <v>1.120587</v>
      </c>
      <c r="H47" s="25">
        <v>181.4682</v>
      </c>
      <c r="I47" s="34">
        <f t="shared" si="1"/>
        <v>0</v>
      </c>
      <c r="J47" s="35">
        <f t="shared" si="2"/>
        <v>0</v>
      </c>
      <c r="K47" s="35">
        <f t="shared" si="3"/>
        <v>-0.46819999999999595</v>
      </c>
    </row>
    <row r="48" spans="1:11" ht="14.25" thickBot="1">
      <c r="A48" s="31">
        <v>43923.583333333336</v>
      </c>
      <c r="B48" s="32">
        <v>0.9</v>
      </c>
      <c r="C48" s="32">
        <v>0.35708899999999999</v>
      </c>
      <c r="D48" s="32">
        <v>217</v>
      </c>
      <c r="F48" s="17">
        <v>0.9</v>
      </c>
      <c r="G48" s="19">
        <v>0.35708899999999999</v>
      </c>
      <c r="H48" s="25">
        <v>216.73480000000001</v>
      </c>
      <c r="I48" s="34">
        <f t="shared" si="1"/>
        <v>0</v>
      </c>
      <c r="J48" s="35">
        <f t="shared" si="2"/>
        <v>0</v>
      </c>
      <c r="K48" s="35">
        <f t="shared" si="3"/>
        <v>0.265199999999993</v>
      </c>
    </row>
    <row r="49" spans="1:11" ht="14.25" thickBot="1">
      <c r="A49" s="31">
        <v>43923.625</v>
      </c>
      <c r="B49" s="32">
        <v>0.1</v>
      </c>
      <c r="C49" s="32">
        <v>3.9530000000000003E-2</v>
      </c>
      <c r="D49" s="32">
        <v>251</v>
      </c>
      <c r="F49" s="17">
        <v>0.1</v>
      </c>
      <c r="G49" s="19">
        <v>3.9529809999999999E-2</v>
      </c>
      <c r="H49" s="25">
        <v>250.5581</v>
      </c>
      <c r="I49" s="34">
        <f t="shared" si="1"/>
        <v>0</v>
      </c>
      <c r="J49" s="35">
        <f t="shared" si="2"/>
        <v>1.900000000040758E-7</v>
      </c>
      <c r="K49" s="35">
        <f t="shared" si="3"/>
        <v>0.44190000000000396</v>
      </c>
    </row>
    <row r="50" spans="1:11" ht="14.25" thickBot="1">
      <c r="A50" s="31">
        <v>43923.666666666664</v>
      </c>
      <c r="B50" s="32">
        <v>0.6</v>
      </c>
      <c r="C50" s="32">
        <v>0.23773</v>
      </c>
      <c r="D50" s="32">
        <v>278</v>
      </c>
      <c r="F50" s="17">
        <v>0.6</v>
      </c>
      <c r="G50" s="19">
        <v>0.2377301</v>
      </c>
      <c r="H50" s="25">
        <v>278.03050000000002</v>
      </c>
      <c r="I50" s="34">
        <f t="shared" si="1"/>
        <v>0</v>
      </c>
      <c r="J50" s="35">
        <f t="shared" si="2"/>
        <v>-1.0000000000287557E-7</v>
      </c>
      <c r="K50" s="35">
        <f t="shared" si="3"/>
        <v>-3.0500000000017735E-2</v>
      </c>
    </row>
    <row r="51" spans="1:11" ht="14.25" thickBot="1">
      <c r="A51" s="31">
        <v>43923.708333333336</v>
      </c>
      <c r="B51" s="32">
        <v>0.2</v>
      </c>
      <c r="C51" s="32">
        <v>7.9097000000000001E-2</v>
      </c>
      <c r="D51" s="32">
        <v>296</v>
      </c>
      <c r="F51" s="17">
        <v>0.2</v>
      </c>
      <c r="G51" s="19">
        <v>7.90965E-2</v>
      </c>
      <c r="H51" s="25">
        <v>295.99770000000001</v>
      </c>
      <c r="I51" s="34">
        <f t="shared" si="1"/>
        <v>0</v>
      </c>
      <c r="J51" s="35">
        <f t="shared" si="2"/>
        <v>5.0000000000050004E-7</v>
      </c>
      <c r="K51" s="35">
        <f t="shared" si="3"/>
        <v>2.299999999991087E-3</v>
      </c>
    </row>
    <row r="52" spans="1:11" ht="14.25" thickBot="1">
      <c r="A52" s="31">
        <v>43923.75</v>
      </c>
      <c r="B52" s="32">
        <v>1.1000000000000001</v>
      </c>
      <c r="C52" s="32">
        <v>0.43684400000000001</v>
      </c>
      <c r="D52" s="32">
        <v>304</v>
      </c>
      <c r="F52" s="17">
        <v>1.1000000000000001</v>
      </c>
      <c r="G52" s="19">
        <v>0.4368438</v>
      </c>
      <c r="H52" s="25">
        <v>304.34960000000001</v>
      </c>
      <c r="I52" s="34">
        <f t="shared" si="1"/>
        <v>0</v>
      </c>
      <c r="J52" s="35">
        <f t="shared" si="2"/>
        <v>2.0000000000575113E-7</v>
      </c>
      <c r="K52" s="35">
        <f t="shared" si="3"/>
        <v>-0.34960000000000946</v>
      </c>
    </row>
    <row r="53" spans="1:11" ht="14.25" thickBot="1">
      <c r="A53" s="31">
        <v>43923.791666666664</v>
      </c>
      <c r="B53" s="32">
        <v>2.1</v>
      </c>
      <c r="C53" s="32">
        <v>0.83778900000000001</v>
      </c>
      <c r="D53" s="32">
        <v>306</v>
      </c>
      <c r="F53" s="17">
        <v>2.1</v>
      </c>
      <c r="G53" s="19">
        <v>0.83778900000000001</v>
      </c>
      <c r="H53" s="25">
        <v>305.80599999999998</v>
      </c>
      <c r="I53" s="34">
        <f t="shared" si="1"/>
        <v>0</v>
      </c>
      <c r="J53" s="35">
        <f t="shared" si="2"/>
        <v>0</v>
      </c>
      <c r="K53" s="35">
        <f t="shared" si="3"/>
        <v>0.19400000000001683</v>
      </c>
    </row>
    <row r="54" spans="1:11" ht="14.25" thickBot="1">
      <c r="A54" s="31">
        <v>43923.833333333336</v>
      </c>
      <c r="B54" s="32">
        <v>2.9</v>
      </c>
      <c r="C54" s="32">
        <v>1.1611290000000001</v>
      </c>
      <c r="D54" s="32">
        <v>305</v>
      </c>
      <c r="F54" s="17">
        <v>2.9</v>
      </c>
      <c r="G54" s="19">
        <v>1.1611290000000001</v>
      </c>
      <c r="H54" s="25">
        <v>305.3655</v>
      </c>
      <c r="I54" s="34">
        <f t="shared" si="1"/>
        <v>0</v>
      </c>
      <c r="J54" s="35">
        <f t="shared" si="2"/>
        <v>0</v>
      </c>
      <c r="K54" s="35">
        <f t="shared" si="3"/>
        <v>-0.36549999999999727</v>
      </c>
    </row>
    <row r="55" spans="1:11" ht="14.25" thickBot="1">
      <c r="A55" s="31">
        <v>43923.875</v>
      </c>
      <c r="B55" s="32">
        <v>0.6</v>
      </c>
      <c r="C55" s="32">
        <v>0.23773</v>
      </c>
      <c r="D55" s="32">
        <v>306</v>
      </c>
      <c r="F55" s="17">
        <v>0.6</v>
      </c>
      <c r="G55" s="19">
        <v>0.2377301</v>
      </c>
      <c r="H55" s="25">
        <v>306.25330000000002</v>
      </c>
      <c r="I55" s="34">
        <f t="shared" si="1"/>
        <v>0</v>
      </c>
      <c r="J55" s="35">
        <f t="shared" si="2"/>
        <v>-1.0000000000287557E-7</v>
      </c>
      <c r="K55" s="35">
        <f t="shared" si="3"/>
        <v>-0.25330000000002428</v>
      </c>
    </row>
    <row r="56" spans="1:11" ht="14.25" thickBot="1">
      <c r="A56" s="31">
        <v>43923.916666666664</v>
      </c>
      <c r="B56" s="32">
        <v>0.6</v>
      </c>
      <c r="C56" s="32">
        <v>0.23773</v>
      </c>
      <c r="D56" s="32">
        <v>309</v>
      </c>
      <c r="F56" s="17">
        <v>0.6</v>
      </c>
      <c r="G56" s="19">
        <v>0.2377301</v>
      </c>
      <c r="H56" s="25">
        <v>308.57</v>
      </c>
      <c r="I56" s="34">
        <f t="shared" si="1"/>
        <v>0</v>
      </c>
      <c r="J56" s="35">
        <f t="shared" si="2"/>
        <v>-1.0000000000287557E-7</v>
      </c>
      <c r="K56" s="35">
        <f t="shared" si="3"/>
        <v>0.43000000000000682</v>
      </c>
    </row>
    <row r="57" spans="1:11" ht="14.25" thickBot="1">
      <c r="A57" s="31">
        <v>43923.958333333336</v>
      </c>
      <c r="B57" s="32">
        <v>0.8</v>
      </c>
      <c r="C57" s="32">
        <v>0.31726599999999999</v>
      </c>
      <c r="D57" s="32">
        <v>310</v>
      </c>
      <c r="F57" s="17">
        <v>0.8</v>
      </c>
      <c r="G57" s="19">
        <v>0.3172663</v>
      </c>
      <c r="H57" s="25">
        <v>310.05669999999998</v>
      </c>
      <c r="I57" s="34">
        <f t="shared" si="1"/>
        <v>0</v>
      </c>
      <c r="J57" s="35">
        <f t="shared" si="2"/>
        <v>-3.000000000086267E-7</v>
      </c>
      <c r="K57" s="35">
        <f t="shared" si="3"/>
        <v>-5.669999999997799E-2</v>
      </c>
    </row>
    <row r="58" spans="1:11" ht="14.25" thickBot="1">
      <c r="A58" s="31">
        <v>43924</v>
      </c>
      <c r="B58" s="32">
        <v>2.4</v>
      </c>
      <c r="C58" s="32">
        <v>0.95877400000000002</v>
      </c>
      <c r="D58" s="32">
        <v>311</v>
      </c>
      <c r="F58" s="17">
        <v>2.4</v>
      </c>
      <c r="G58" s="19">
        <v>0.95877389999999996</v>
      </c>
      <c r="H58" s="25">
        <v>310.59769999999997</v>
      </c>
      <c r="I58" s="34">
        <f t="shared" si="1"/>
        <v>0</v>
      </c>
      <c r="J58" s="35">
        <f t="shared" si="2"/>
        <v>1.0000000005838672E-7</v>
      </c>
      <c r="K58" s="35">
        <f t="shared" si="3"/>
        <v>0.40230000000002519</v>
      </c>
    </row>
    <row r="59" spans="1:11" ht="14.25" thickBot="1">
      <c r="A59" s="31">
        <v>43924.041666666664</v>
      </c>
      <c r="B59" s="32">
        <v>2.4</v>
      </c>
      <c r="C59" s="32">
        <v>0.95877400000000002</v>
      </c>
      <c r="D59" s="32">
        <v>312</v>
      </c>
      <c r="F59" s="17">
        <v>2.4</v>
      </c>
      <c r="G59" s="19">
        <v>0.95877389999999996</v>
      </c>
      <c r="H59" s="25">
        <v>312.10410000000002</v>
      </c>
      <c r="I59" s="34">
        <f t="shared" si="1"/>
        <v>0</v>
      </c>
      <c r="J59" s="35">
        <f t="shared" si="2"/>
        <v>1.0000000005838672E-7</v>
      </c>
      <c r="K59" s="35">
        <f t="shared" si="3"/>
        <v>-0.10410000000001673</v>
      </c>
    </row>
    <row r="60" spans="1:11" ht="14.25" thickBot="1">
      <c r="A60" s="31">
        <v>43924.083333333336</v>
      </c>
      <c r="B60" s="32">
        <v>1.9</v>
      </c>
      <c r="C60" s="32">
        <v>0.75731199999999999</v>
      </c>
      <c r="D60" s="32">
        <v>317</v>
      </c>
      <c r="F60" s="17">
        <v>1.9</v>
      </c>
      <c r="G60" s="19">
        <v>0.75731170000000003</v>
      </c>
      <c r="H60" s="25">
        <v>316.69029999999998</v>
      </c>
      <c r="I60" s="34">
        <f t="shared" si="1"/>
        <v>0</v>
      </c>
      <c r="J60" s="35">
        <f t="shared" si="2"/>
        <v>2.9999999995311555E-7</v>
      </c>
      <c r="K60" s="35">
        <f t="shared" si="3"/>
        <v>0.30970000000002074</v>
      </c>
    </row>
    <row r="61" spans="1:11" ht="14.25" thickBot="1">
      <c r="A61" s="31">
        <v>43924.125</v>
      </c>
      <c r="B61" s="32">
        <v>1.6</v>
      </c>
      <c r="C61" s="32">
        <v>0.63686500000000001</v>
      </c>
      <c r="D61" s="32">
        <v>325</v>
      </c>
      <c r="F61" s="17">
        <v>1.6</v>
      </c>
      <c r="G61" s="19">
        <v>0.63686540000000003</v>
      </c>
      <c r="H61" s="25">
        <v>324.63959999999997</v>
      </c>
      <c r="I61" s="34">
        <f t="shared" si="1"/>
        <v>0</v>
      </c>
      <c r="J61" s="35">
        <f t="shared" si="2"/>
        <v>-4.0000000001150227E-7</v>
      </c>
      <c r="K61" s="35">
        <f t="shared" si="3"/>
        <v>0.36040000000002692</v>
      </c>
    </row>
    <row r="62" spans="1:11" ht="14.25" thickBot="1">
      <c r="A62" s="31">
        <v>43924.166666666664</v>
      </c>
      <c r="B62" s="32">
        <v>1.1000000000000001</v>
      </c>
      <c r="C62" s="32">
        <v>0.43684400000000001</v>
      </c>
      <c r="D62" s="32">
        <v>335</v>
      </c>
      <c r="F62" s="17">
        <v>1.1000000000000001</v>
      </c>
      <c r="G62" s="19">
        <v>0.4368438</v>
      </c>
      <c r="H62" s="25">
        <v>334.36590000000001</v>
      </c>
      <c r="I62" s="34">
        <f t="shared" si="1"/>
        <v>0</v>
      </c>
      <c r="J62" s="35">
        <f t="shared" si="2"/>
        <v>2.0000000000575113E-7</v>
      </c>
      <c r="K62" s="35">
        <f t="shared" si="3"/>
        <v>0.63409999999998945</v>
      </c>
    </row>
    <row r="63" spans="1:11" ht="14.25" thickBot="1">
      <c r="A63" s="31">
        <v>43924.208333333336</v>
      </c>
      <c r="B63" s="32">
        <v>1.2</v>
      </c>
      <c r="C63" s="32">
        <v>0.47677599999999998</v>
      </c>
      <c r="D63" s="32">
        <v>344</v>
      </c>
      <c r="F63" s="17">
        <v>1.2</v>
      </c>
      <c r="G63" s="19">
        <v>0.47677570000000002</v>
      </c>
      <c r="H63" s="25">
        <v>343.72030000000001</v>
      </c>
      <c r="I63" s="34">
        <f t="shared" si="1"/>
        <v>0</v>
      </c>
      <c r="J63" s="35">
        <f t="shared" si="2"/>
        <v>2.9999999995311555E-7</v>
      </c>
      <c r="K63" s="35">
        <f t="shared" si="3"/>
        <v>0.27969999999999118</v>
      </c>
    </row>
    <row r="64" spans="1:11" ht="14.25" thickBot="1">
      <c r="A64" s="31">
        <v>43924.25</v>
      </c>
      <c r="B64" s="32">
        <v>2.1</v>
      </c>
      <c r="C64" s="32">
        <v>0.83778900000000001</v>
      </c>
      <c r="D64" s="32">
        <v>352</v>
      </c>
      <c r="F64" s="17">
        <v>2.1</v>
      </c>
      <c r="G64" s="19">
        <v>0.83778900000000001</v>
      </c>
      <c r="H64" s="25">
        <v>351.72179999999997</v>
      </c>
      <c r="I64" s="34">
        <f t="shared" si="1"/>
        <v>0</v>
      </c>
      <c r="J64" s="35">
        <f t="shared" si="2"/>
        <v>0</v>
      </c>
      <c r="K64" s="35">
        <f t="shared" si="3"/>
        <v>0.27820000000002665</v>
      </c>
    </row>
    <row r="65" spans="1:11" ht="14.25" thickBot="1">
      <c r="A65" s="31">
        <v>43924.291666666664</v>
      </c>
      <c r="B65" s="32">
        <v>1.5</v>
      </c>
      <c r="C65" s="32">
        <v>0.59678900000000001</v>
      </c>
      <c r="D65" s="32">
        <v>359</v>
      </c>
      <c r="F65" s="17">
        <v>1.5</v>
      </c>
      <c r="G65" s="19">
        <v>0.59678869999999995</v>
      </c>
      <c r="H65" s="25">
        <v>358.39589999999998</v>
      </c>
      <c r="I65" s="34">
        <f t="shared" si="1"/>
        <v>0</v>
      </c>
      <c r="J65" s="35">
        <f t="shared" si="2"/>
        <v>3.0000000006413785E-7</v>
      </c>
      <c r="K65" s="35">
        <f t="shared" si="3"/>
        <v>0.60410000000001673</v>
      </c>
    </row>
    <row r="66" spans="1:11" ht="14.25" thickBot="1">
      <c r="A66" s="31">
        <v>43924.333333333336</v>
      </c>
      <c r="B66" s="32">
        <v>0.9</v>
      </c>
      <c r="C66" s="32">
        <v>0.35708899999999999</v>
      </c>
      <c r="D66" s="32">
        <v>364</v>
      </c>
      <c r="F66" s="17">
        <v>0.9</v>
      </c>
      <c r="G66" s="19">
        <v>0.35708899999999999</v>
      </c>
      <c r="H66" s="25">
        <v>363.59480000000002</v>
      </c>
      <c r="I66" s="34">
        <f t="shared" si="1"/>
        <v>0</v>
      </c>
      <c r="J66" s="35">
        <f t="shared" si="2"/>
        <v>0</v>
      </c>
      <c r="K66" s="35">
        <f t="shared" si="3"/>
        <v>0.40519999999997935</v>
      </c>
    </row>
    <row r="67" spans="1:11" ht="14.25" thickBot="1">
      <c r="A67" s="31">
        <v>43924.375</v>
      </c>
      <c r="B67" s="32">
        <v>0.6</v>
      </c>
      <c r="C67" s="32">
        <v>0.23773</v>
      </c>
      <c r="D67" s="32">
        <v>366</v>
      </c>
      <c r="F67" s="17">
        <v>0.6</v>
      </c>
      <c r="G67" s="19">
        <v>0.2377301</v>
      </c>
      <c r="H67" s="25">
        <v>366.09750000000003</v>
      </c>
      <c r="I67" s="34">
        <f t="shared" si="1"/>
        <v>0</v>
      </c>
      <c r="J67" s="35">
        <f t="shared" si="2"/>
        <v>-1.0000000000287557E-7</v>
      </c>
      <c r="K67" s="35">
        <f t="shared" si="3"/>
        <v>-9.7500000000025011E-2</v>
      </c>
    </row>
    <row r="68" spans="1:11" ht="14.25" thickBot="1">
      <c r="A68" s="31">
        <v>43924.416666666664</v>
      </c>
      <c r="B68" s="32">
        <v>0.4</v>
      </c>
      <c r="C68" s="32">
        <v>0.15834000000000001</v>
      </c>
      <c r="D68" s="32">
        <v>365</v>
      </c>
      <c r="F68" s="17">
        <v>0.4</v>
      </c>
      <c r="G68" s="19">
        <v>0.15834000000000001</v>
      </c>
      <c r="H68" s="25">
        <v>364.37849999999997</v>
      </c>
      <c r="I68" s="34">
        <f t="shared" ref="I68:I131" si="4">B68-F68</f>
        <v>0</v>
      </c>
      <c r="J68" s="35">
        <f t="shared" ref="J68:J131" si="5">C68-G68</f>
        <v>0</v>
      </c>
      <c r="K68" s="35">
        <f t="shared" ref="K68:K131" si="6">D68-H68</f>
        <v>0.62150000000002592</v>
      </c>
    </row>
    <row r="69" spans="1:11" ht="14.25" thickBot="1">
      <c r="A69" s="31">
        <v>43924.458333333336</v>
      </c>
      <c r="B69" s="32">
        <v>0.7</v>
      </c>
      <c r="C69" s="32">
        <v>0.27748</v>
      </c>
      <c r="D69" s="32">
        <v>358</v>
      </c>
      <c r="F69" s="17">
        <v>0.7</v>
      </c>
      <c r="G69" s="19">
        <v>0.2774799</v>
      </c>
      <c r="H69" s="25">
        <v>357.75409999999999</v>
      </c>
      <c r="I69" s="34">
        <f t="shared" si="4"/>
        <v>0</v>
      </c>
      <c r="J69" s="35">
        <f t="shared" si="5"/>
        <v>1.0000000000287557E-7</v>
      </c>
      <c r="K69" s="35">
        <f t="shared" si="6"/>
        <v>0.245900000000006</v>
      </c>
    </row>
    <row r="70" spans="1:11" ht="14.25" thickBot="1">
      <c r="A70" s="31">
        <v>43924.5</v>
      </c>
      <c r="B70" s="32">
        <v>1.3</v>
      </c>
      <c r="C70" s="32">
        <v>0.51674399999999998</v>
      </c>
      <c r="D70" s="32">
        <v>347</v>
      </c>
      <c r="F70" s="17">
        <v>1.3</v>
      </c>
      <c r="G70" s="19">
        <v>0.51674379999999998</v>
      </c>
      <c r="H70" s="25">
        <v>347.13959999999997</v>
      </c>
      <c r="I70" s="34">
        <f t="shared" si="4"/>
        <v>0</v>
      </c>
      <c r="J70" s="35">
        <f t="shared" si="5"/>
        <v>2.0000000000575113E-7</v>
      </c>
      <c r="K70" s="35">
        <f t="shared" si="6"/>
        <v>-0.13959999999997308</v>
      </c>
    </row>
    <row r="71" spans="1:11" ht="14.25" thickBot="1">
      <c r="A71" s="31">
        <v>43924.541666666664</v>
      </c>
      <c r="B71" s="32">
        <v>1.5</v>
      </c>
      <c r="C71" s="32">
        <v>0.59678900000000001</v>
      </c>
      <c r="D71" s="32">
        <v>335</v>
      </c>
      <c r="F71" s="17">
        <v>1.5</v>
      </c>
      <c r="G71" s="19">
        <v>0.59678869999999995</v>
      </c>
      <c r="H71" s="25">
        <v>334.79660000000001</v>
      </c>
      <c r="I71" s="34">
        <f t="shared" si="4"/>
        <v>0</v>
      </c>
      <c r="J71" s="35">
        <f t="shared" si="5"/>
        <v>3.0000000006413785E-7</v>
      </c>
      <c r="K71" s="35">
        <f t="shared" si="6"/>
        <v>0.20339999999998781</v>
      </c>
    </row>
    <row r="72" spans="1:11" ht="14.25" thickBot="1">
      <c r="A72" s="31">
        <v>43924.583333333336</v>
      </c>
      <c r="B72" s="32">
        <v>0.9</v>
      </c>
      <c r="C72" s="32">
        <v>0.35708899999999999</v>
      </c>
      <c r="D72" s="32">
        <v>323</v>
      </c>
      <c r="F72" s="17">
        <v>0.9</v>
      </c>
      <c r="G72" s="19">
        <v>0.35708899999999999</v>
      </c>
      <c r="H72" s="25">
        <v>322.73989999999998</v>
      </c>
      <c r="I72" s="34">
        <f t="shared" si="4"/>
        <v>0</v>
      </c>
      <c r="J72" s="35">
        <f t="shared" si="5"/>
        <v>0</v>
      </c>
      <c r="K72" s="35">
        <f t="shared" si="6"/>
        <v>0.26010000000002265</v>
      </c>
    </row>
    <row r="73" spans="1:11" ht="14.25" thickBot="1">
      <c r="A73" s="31">
        <v>43924.625</v>
      </c>
      <c r="B73" s="32">
        <v>0.3</v>
      </c>
      <c r="C73" s="32">
        <v>0.1187</v>
      </c>
      <c r="D73" s="32">
        <v>312</v>
      </c>
      <c r="F73" s="17">
        <v>0.3</v>
      </c>
      <c r="G73" s="19">
        <v>0.1186999</v>
      </c>
      <c r="H73" s="25">
        <v>311.36360000000002</v>
      </c>
      <c r="I73" s="34">
        <f t="shared" si="4"/>
        <v>0</v>
      </c>
      <c r="J73" s="35">
        <f t="shared" si="5"/>
        <v>1.0000000000287557E-7</v>
      </c>
      <c r="K73" s="35">
        <f t="shared" si="6"/>
        <v>0.63639999999998054</v>
      </c>
    </row>
    <row r="74" spans="1:11" ht="14.25" thickBot="1">
      <c r="A74" s="31">
        <v>43924.666666666664</v>
      </c>
      <c r="B74" s="32">
        <v>0</v>
      </c>
      <c r="C74" s="32">
        <v>0</v>
      </c>
      <c r="D74" s="32">
        <v>300</v>
      </c>
      <c r="F74" s="17">
        <v>0</v>
      </c>
      <c r="G74" s="19">
        <v>-1.095107E-7</v>
      </c>
      <c r="H74" s="25">
        <v>299.47480000000002</v>
      </c>
      <c r="I74" s="34">
        <f t="shared" si="4"/>
        <v>0</v>
      </c>
      <c r="J74" s="35">
        <f t="shared" si="5"/>
        <v>1.095107E-7</v>
      </c>
      <c r="K74" s="35">
        <f t="shared" si="6"/>
        <v>0.5251999999999839</v>
      </c>
    </row>
    <row r="75" spans="1:11" ht="14.25" thickBot="1">
      <c r="A75" s="31">
        <v>43924.708333333336</v>
      </c>
      <c r="B75" s="32">
        <v>0</v>
      </c>
      <c r="C75" s="32">
        <v>0</v>
      </c>
      <c r="D75" s="32">
        <v>286</v>
      </c>
      <c r="F75" s="17">
        <v>0</v>
      </c>
      <c r="G75" s="19">
        <v>-1.095107E-7</v>
      </c>
      <c r="H75" s="25">
        <v>285.55130000000003</v>
      </c>
      <c r="I75" s="34">
        <f t="shared" si="4"/>
        <v>0</v>
      </c>
      <c r="J75" s="35">
        <f t="shared" si="5"/>
        <v>1.095107E-7</v>
      </c>
      <c r="K75" s="35">
        <f t="shared" si="6"/>
        <v>0.4486999999999739</v>
      </c>
    </row>
    <row r="76" spans="1:11" ht="14.25" thickBot="1">
      <c r="A76" s="31">
        <v>43924.75</v>
      </c>
      <c r="B76" s="32">
        <v>0</v>
      </c>
      <c r="C76" s="32">
        <v>0</v>
      </c>
      <c r="D76" s="32">
        <v>269</v>
      </c>
      <c r="F76" s="17">
        <v>0</v>
      </c>
      <c r="G76" s="19">
        <v>-1.095107E-7</v>
      </c>
      <c r="H76" s="25">
        <v>268.72919999999999</v>
      </c>
      <c r="I76" s="34">
        <f t="shared" si="4"/>
        <v>0</v>
      </c>
      <c r="J76" s="35">
        <f t="shared" si="5"/>
        <v>1.095107E-7</v>
      </c>
      <c r="K76" s="35">
        <f t="shared" si="6"/>
        <v>0.27080000000000837</v>
      </c>
    </row>
    <row r="77" spans="1:11" ht="14.25" thickBot="1">
      <c r="A77" s="31">
        <v>43924.791666666664</v>
      </c>
      <c r="B77" s="32">
        <v>0</v>
      </c>
      <c r="C77" s="32">
        <v>0</v>
      </c>
      <c r="D77" s="32">
        <v>249</v>
      </c>
      <c r="F77" s="17">
        <v>0</v>
      </c>
      <c r="G77" s="19">
        <v>-1.095107E-7</v>
      </c>
      <c r="H77" s="25">
        <v>249.04920000000001</v>
      </c>
      <c r="I77" s="34">
        <f t="shared" si="4"/>
        <v>0</v>
      </c>
      <c r="J77" s="35">
        <f t="shared" si="5"/>
        <v>1.095107E-7</v>
      </c>
      <c r="K77" s="35">
        <f t="shared" si="6"/>
        <v>-4.9200000000013233E-2</v>
      </c>
    </row>
    <row r="78" spans="1:11" ht="14.25" thickBot="1">
      <c r="A78" s="31">
        <v>43924.833333333336</v>
      </c>
      <c r="B78" s="32">
        <v>0</v>
      </c>
      <c r="C78" s="32">
        <v>0</v>
      </c>
      <c r="D78" s="32">
        <v>227</v>
      </c>
      <c r="F78" s="17">
        <v>0</v>
      </c>
      <c r="G78" s="19">
        <v>-1.095107E-7</v>
      </c>
      <c r="H78" s="25">
        <v>227.1833</v>
      </c>
      <c r="I78" s="34">
        <f t="shared" si="4"/>
        <v>0</v>
      </c>
      <c r="J78" s="35">
        <f t="shared" si="5"/>
        <v>1.095107E-7</v>
      </c>
      <c r="K78" s="35">
        <f t="shared" si="6"/>
        <v>-0.18330000000000268</v>
      </c>
    </row>
    <row r="79" spans="1:11" ht="14.25" thickBot="1">
      <c r="A79" s="31">
        <v>43924.875</v>
      </c>
      <c r="B79" s="32">
        <v>0</v>
      </c>
      <c r="C79" s="32">
        <v>0</v>
      </c>
      <c r="D79" s="32">
        <v>204</v>
      </c>
      <c r="F79" s="17">
        <v>0</v>
      </c>
      <c r="G79" s="19">
        <v>-1.095107E-7</v>
      </c>
      <c r="H79" s="25">
        <v>204.1002</v>
      </c>
      <c r="I79" s="34">
        <f t="shared" si="4"/>
        <v>0</v>
      </c>
      <c r="J79" s="35">
        <f t="shared" si="5"/>
        <v>1.095107E-7</v>
      </c>
      <c r="K79" s="35">
        <f t="shared" si="6"/>
        <v>-0.10020000000000095</v>
      </c>
    </row>
    <row r="80" spans="1:11" ht="14.25" thickBot="1">
      <c r="A80" s="31">
        <v>43924.916666666664</v>
      </c>
      <c r="B80" s="32">
        <v>0</v>
      </c>
      <c r="C80" s="32">
        <v>0</v>
      </c>
      <c r="D80" s="32">
        <v>181</v>
      </c>
      <c r="F80" s="17">
        <v>0</v>
      </c>
      <c r="G80" s="19">
        <v>-1.095107E-7</v>
      </c>
      <c r="H80" s="25">
        <v>180.80410000000001</v>
      </c>
      <c r="I80" s="34">
        <f t="shared" si="4"/>
        <v>0</v>
      </c>
      <c r="J80" s="35">
        <f t="shared" si="5"/>
        <v>1.095107E-7</v>
      </c>
      <c r="K80" s="35">
        <f t="shared" si="6"/>
        <v>0.19589999999999463</v>
      </c>
    </row>
    <row r="81" spans="1:11" ht="14.25" thickBot="1">
      <c r="A81" s="31">
        <v>43924.958333333336</v>
      </c>
      <c r="B81" s="32">
        <v>0</v>
      </c>
      <c r="C81" s="32">
        <v>0</v>
      </c>
      <c r="D81" s="32">
        <v>158</v>
      </c>
      <c r="F81" s="17">
        <v>0</v>
      </c>
      <c r="G81" s="19">
        <v>-1.095107E-7</v>
      </c>
      <c r="H81" s="25">
        <v>158.173</v>
      </c>
      <c r="I81" s="34">
        <f t="shared" si="4"/>
        <v>0</v>
      </c>
      <c r="J81" s="35">
        <f t="shared" si="5"/>
        <v>1.095107E-7</v>
      </c>
      <c r="K81" s="35">
        <f t="shared" si="6"/>
        <v>-0.17300000000000182</v>
      </c>
    </row>
    <row r="82" spans="1:11" ht="14.25" thickBot="1">
      <c r="A82" s="31">
        <v>43925</v>
      </c>
      <c r="B82" s="32">
        <v>0</v>
      </c>
      <c r="C82" s="32">
        <v>0</v>
      </c>
      <c r="D82" s="32">
        <v>137</v>
      </c>
      <c r="F82" s="17">
        <v>0</v>
      </c>
      <c r="G82" s="19">
        <v>-1.095107E-7</v>
      </c>
      <c r="H82" s="25">
        <v>136.88200000000001</v>
      </c>
      <c r="I82" s="34">
        <f t="shared" si="4"/>
        <v>0</v>
      </c>
      <c r="J82" s="35">
        <f t="shared" si="5"/>
        <v>1.095107E-7</v>
      </c>
      <c r="K82" s="35">
        <f t="shared" si="6"/>
        <v>0.117999999999995</v>
      </c>
    </row>
    <row r="83" spans="1:11" ht="14.25" thickBot="1">
      <c r="A83" s="31">
        <v>43925.041666666664</v>
      </c>
      <c r="B83" s="32">
        <v>0</v>
      </c>
      <c r="C83" s="32">
        <v>0</v>
      </c>
      <c r="D83" s="32">
        <v>117</v>
      </c>
      <c r="F83" s="17">
        <v>0</v>
      </c>
      <c r="G83" s="19">
        <v>-1.095107E-7</v>
      </c>
      <c r="H83" s="25">
        <v>117.3856</v>
      </c>
      <c r="I83" s="34">
        <f t="shared" si="4"/>
        <v>0</v>
      </c>
      <c r="J83" s="35">
        <f t="shared" si="5"/>
        <v>1.095107E-7</v>
      </c>
      <c r="K83" s="35">
        <f t="shared" si="6"/>
        <v>-0.38559999999999661</v>
      </c>
    </row>
    <row r="84" spans="1:11" ht="14.25" thickBot="1">
      <c r="A84" s="31">
        <v>43925.083333333336</v>
      </c>
      <c r="B84" s="32">
        <v>0.1</v>
      </c>
      <c r="C84" s="32">
        <v>3.9530000000000003E-2</v>
      </c>
      <c r="D84" s="32">
        <v>100</v>
      </c>
      <c r="F84" s="17">
        <v>0.1</v>
      </c>
      <c r="G84" s="19">
        <v>3.9529809999999999E-2</v>
      </c>
      <c r="H84" s="25">
        <v>100.02070000000001</v>
      </c>
      <c r="I84" s="34">
        <f t="shared" si="4"/>
        <v>0</v>
      </c>
      <c r="J84" s="35">
        <f t="shared" si="5"/>
        <v>1.900000000040758E-7</v>
      </c>
      <c r="K84" s="35">
        <f t="shared" si="6"/>
        <v>-2.0700000000005048E-2</v>
      </c>
    </row>
    <row r="85" spans="1:11" ht="14.25" thickBot="1">
      <c r="A85" s="31">
        <v>43925.125</v>
      </c>
      <c r="B85" s="32">
        <v>0.1</v>
      </c>
      <c r="C85" s="32">
        <v>3.9530000000000003E-2</v>
      </c>
      <c r="D85" s="32">
        <v>85</v>
      </c>
      <c r="F85" s="17">
        <v>0.1</v>
      </c>
      <c r="G85" s="19">
        <v>3.9529809999999999E-2</v>
      </c>
      <c r="H85" s="25">
        <v>84.580150000000003</v>
      </c>
      <c r="I85" s="34">
        <f t="shared" si="4"/>
        <v>0</v>
      </c>
      <c r="J85" s="35">
        <f t="shared" si="5"/>
        <v>1.900000000040758E-7</v>
      </c>
      <c r="K85" s="35">
        <f t="shared" si="6"/>
        <v>0.41984999999999673</v>
      </c>
    </row>
    <row r="86" spans="1:11" ht="14.25" thickBot="1">
      <c r="A86" s="31">
        <v>43925.166666666664</v>
      </c>
      <c r="B86" s="32">
        <v>0</v>
      </c>
      <c r="C86" s="32">
        <v>0</v>
      </c>
      <c r="D86" s="32">
        <v>73</v>
      </c>
      <c r="F86" s="17">
        <v>0</v>
      </c>
      <c r="G86" s="19">
        <v>-1.095107E-7</v>
      </c>
      <c r="H86" s="25">
        <v>71.859549999999999</v>
      </c>
      <c r="I86" s="34">
        <f t="shared" si="4"/>
        <v>0</v>
      </c>
      <c r="J86" s="35">
        <f t="shared" si="5"/>
        <v>1.095107E-7</v>
      </c>
      <c r="K86" s="35">
        <f t="shared" si="6"/>
        <v>1.1404500000000013</v>
      </c>
    </row>
    <row r="87" spans="1:11" ht="14.25" thickBot="1">
      <c r="A87" s="31">
        <v>43925.208333333336</v>
      </c>
      <c r="B87" s="32">
        <v>0</v>
      </c>
      <c r="C87" s="32">
        <v>0</v>
      </c>
      <c r="D87" s="32">
        <v>62</v>
      </c>
      <c r="F87" s="17">
        <v>0</v>
      </c>
      <c r="G87" s="19">
        <v>-1.095107E-7</v>
      </c>
      <c r="H87" s="25">
        <v>61.323349999999998</v>
      </c>
      <c r="I87" s="34">
        <f t="shared" si="4"/>
        <v>0</v>
      </c>
      <c r="J87" s="35">
        <f t="shared" si="5"/>
        <v>1.095107E-7</v>
      </c>
      <c r="K87" s="35">
        <f t="shared" si="6"/>
        <v>0.67665000000000219</v>
      </c>
    </row>
    <row r="88" spans="1:11" ht="14.25" thickBot="1">
      <c r="A88" s="31">
        <v>43925.25</v>
      </c>
      <c r="B88" s="32">
        <v>0</v>
      </c>
      <c r="C88" s="32">
        <v>0</v>
      </c>
      <c r="D88" s="32">
        <v>53</v>
      </c>
      <c r="F88" s="17">
        <v>0</v>
      </c>
      <c r="G88" s="19">
        <v>-1.095107E-7</v>
      </c>
      <c r="H88" s="25">
        <v>52.545479999999998</v>
      </c>
      <c r="I88" s="34">
        <f t="shared" si="4"/>
        <v>0</v>
      </c>
      <c r="J88" s="35">
        <f t="shared" si="5"/>
        <v>1.095107E-7</v>
      </c>
      <c r="K88" s="35">
        <f t="shared" si="6"/>
        <v>0.45452000000000226</v>
      </c>
    </row>
    <row r="89" spans="1:11" ht="14.25" thickBot="1">
      <c r="A89" s="31">
        <v>43925.291666666664</v>
      </c>
      <c r="B89" s="32">
        <v>0</v>
      </c>
      <c r="C89" s="32">
        <v>0</v>
      </c>
      <c r="D89" s="32">
        <v>46</v>
      </c>
      <c r="F89" s="17">
        <v>0</v>
      </c>
      <c r="G89" s="19">
        <v>-1.095107E-7</v>
      </c>
      <c r="H89" s="25">
        <v>45.232410000000002</v>
      </c>
      <c r="I89" s="34">
        <f t="shared" si="4"/>
        <v>0</v>
      </c>
      <c r="J89" s="35">
        <f t="shared" si="5"/>
        <v>1.095107E-7</v>
      </c>
      <c r="K89" s="35">
        <f t="shared" si="6"/>
        <v>0.76758999999999844</v>
      </c>
    </row>
    <row r="90" spans="1:11" ht="14.25" thickBot="1">
      <c r="A90" s="31">
        <v>43925.333333333336</v>
      </c>
      <c r="B90" s="32">
        <v>0</v>
      </c>
      <c r="C90" s="32">
        <v>0</v>
      </c>
      <c r="D90" s="32">
        <v>40</v>
      </c>
      <c r="F90" s="17">
        <v>0</v>
      </c>
      <c r="G90" s="19">
        <v>-1.095107E-7</v>
      </c>
      <c r="H90" s="25">
        <v>39.106760000000001</v>
      </c>
      <c r="I90" s="34">
        <f t="shared" si="4"/>
        <v>0</v>
      </c>
      <c r="J90" s="35">
        <f t="shared" si="5"/>
        <v>1.095107E-7</v>
      </c>
      <c r="K90" s="35">
        <f t="shared" si="6"/>
        <v>0.8932399999999987</v>
      </c>
    </row>
    <row r="91" spans="1:11" ht="14.25" thickBot="1">
      <c r="A91" s="31">
        <v>43925.375</v>
      </c>
      <c r="B91" s="32">
        <v>0</v>
      </c>
      <c r="C91" s="32">
        <v>0</v>
      </c>
      <c r="D91" s="32">
        <v>35</v>
      </c>
      <c r="F91" s="17">
        <v>0</v>
      </c>
      <c r="G91" s="19">
        <v>-1.095107E-7</v>
      </c>
      <c r="H91" s="25">
        <v>34.039639999999999</v>
      </c>
      <c r="I91" s="34">
        <f t="shared" si="4"/>
        <v>0</v>
      </c>
      <c r="J91" s="35">
        <f t="shared" si="5"/>
        <v>1.095107E-7</v>
      </c>
      <c r="K91" s="35">
        <f t="shared" si="6"/>
        <v>0.96036000000000143</v>
      </c>
    </row>
    <row r="92" spans="1:11" ht="14.25" thickBot="1">
      <c r="A92" s="31">
        <v>43925.416666666664</v>
      </c>
      <c r="B92" s="32">
        <v>0</v>
      </c>
      <c r="C92" s="32">
        <v>0</v>
      </c>
      <c r="D92" s="32">
        <v>31</v>
      </c>
      <c r="F92" s="17">
        <v>0</v>
      </c>
      <c r="G92" s="19">
        <v>-1.095107E-7</v>
      </c>
      <c r="H92" s="25">
        <v>29.689139999999998</v>
      </c>
      <c r="I92" s="34">
        <f t="shared" si="4"/>
        <v>0</v>
      </c>
      <c r="J92" s="35">
        <f t="shared" si="5"/>
        <v>1.095107E-7</v>
      </c>
      <c r="K92" s="35">
        <f t="shared" si="6"/>
        <v>1.3108600000000017</v>
      </c>
    </row>
    <row r="93" spans="1:11" ht="14.25" thickBot="1">
      <c r="A93" s="31">
        <v>43925.458333333336</v>
      </c>
      <c r="B93" s="32">
        <v>0</v>
      </c>
      <c r="C93" s="32">
        <v>0</v>
      </c>
      <c r="D93" s="32">
        <v>27</v>
      </c>
      <c r="F93" s="17">
        <v>0</v>
      </c>
      <c r="G93" s="19">
        <v>-1.095107E-7</v>
      </c>
      <c r="H93" s="25">
        <v>25.572310000000002</v>
      </c>
      <c r="I93" s="34">
        <f t="shared" si="4"/>
        <v>0</v>
      </c>
      <c r="J93" s="35">
        <f t="shared" si="5"/>
        <v>1.095107E-7</v>
      </c>
      <c r="K93" s="35">
        <f t="shared" si="6"/>
        <v>1.4276899999999983</v>
      </c>
    </row>
    <row r="94" spans="1:11" ht="14.25" thickBot="1">
      <c r="A94" s="31">
        <v>43925.5</v>
      </c>
      <c r="B94" s="32">
        <v>0</v>
      </c>
      <c r="C94" s="32">
        <v>0</v>
      </c>
      <c r="D94" s="32">
        <v>24</v>
      </c>
      <c r="F94" s="17">
        <v>0</v>
      </c>
      <c r="G94" s="19">
        <v>-1.095107E-7</v>
      </c>
      <c r="H94" s="25">
        <v>21.986630000000002</v>
      </c>
      <c r="I94" s="34">
        <f t="shared" si="4"/>
        <v>0</v>
      </c>
      <c r="J94" s="35">
        <f t="shared" si="5"/>
        <v>1.095107E-7</v>
      </c>
      <c r="K94" s="35">
        <f t="shared" si="6"/>
        <v>2.0133699999999983</v>
      </c>
    </row>
    <row r="95" spans="1:11" ht="14.25" thickBot="1">
      <c r="A95" s="31">
        <v>43925.541666666664</v>
      </c>
      <c r="B95" s="32">
        <v>0</v>
      </c>
      <c r="C95" s="32">
        <v>0</v>
      </c>
      <c r="D95" s="32">
        <v>22</v>
      </c>
      <c r="F95" s="17">
        <v>0</v>
      </c>
      <c r="G95" s="19">
        <v>-1.095107E-7</v>
      </c>
      <c r="H95" s="25">
        <v>19.113969999999998</v>
      </c>
      <c r="I95" s="34">
        <f t="shared" si="4"/>
        <v>0</v>
      </c>
      <c r="J95" s="35">
        <f t="shared" si="5"/>
        <v>1.095107E-7</v>
      </c>
      <c r="K95" s="35">
        <f t="shared" si="6"/>
        <v>2.8860300000000016</v>
      </c>
    </row>
    <row r="96" spans="1:11" ht="14.25" thickBot="1">
      <c r="A96" s="31">
        <v>43925.583333333336</v>
      </c>
      <c r="B96" s="32">
        <v>0</v>
      </c>
      <c r="C96" s="32">
        <v>0</v>
      </c>
      <c r="D96" s="32">
        <v>20</v>
      </c>
      <c r="F96" s="17">
        <v>0</v>
      </c>
      <c r="G96" s="19">
        <v>-1.095107E-7</v>
      </c>
      <c r="H96" s="25">
        <v>16.54712</v>
      </c>
      <c r="I96" s="34">
        <f t="shared" si="4"/>
        <v>0</v>
      </c>
      <c r="J96" s="35">
        <f t="shared" si="5"/>
        <v>1.095107E-7</v>
      </c>
      <c r="K96" s="35">
        <f t="shared" si="6"/>
        <v>3.4528800000000004</v>
      </c>
    </row>
    <row r="97" spans="1:11" ht="14.25" thickBot="1">
      <c r="A97" s="31">
        <v>43925.625</v>
      </c>
      <c r="B97" s="32">
        <v>0</v>
      </c>
      <c r="C97" s="32">
        <v>0</v>
      </c>
      <c r="D97" s="32">
        <v>18</v>
      </c>
      <c r="F97" s="17">
        <v>0</v>
      </c>
      <c r="G97" s="19">
        <v>-1.095107E-7</v>
      </c>
      <c r="H97" s="25">
        <v>14.224500000000001</v>
      </c>
      <c r="I97" s="34">
        <f t="shared" si="4"/>
        <v>0</v>
      </c>
      <c r="J97" s="35">
        <f t="shared" si="5"/>
        <v>1.095107E-7</v>
      </c>
      <c r="K97" s="35">
        <f t="shared" si="6"/>
        <v>3.7754999999999992</v>
      </c>
    </row>
    <row r="98" spans="1:11" ht="14.25" thickBot="1">
      <c r="A98" s="31">
        <v>43925.666666666664</v>
      </c>
      <c r="B98" s="32">
        <v>0</v>
      </c>
      <c r="C98" s="32">
        <v>0</v>
      </c>
      <c r="D98" s="32">
        <v>17</v>
      </c>
      <c r="F98" s="17">
        <v>0</v>
      </c>
      <c r="G98" s="19">
        <v>-1.095107E-7</v>
      </c>
      <c r="H98" s="25">
        <v>12.62476</v>
      </c>
      <c r="I98" s="34">
        <f t="shared" si="4"/>
        <v>0</v>
      </c>
      <c r="J98" s="35">
        <f t="shared" si="5"/>
        <v>1.095107E-7</v>
      </c>
      <c r="K98" s="35">
        <f t="shared" si="6"/>
        <v>4.3752399999999998</v>
      </c>
    </row>
    <row r="99" spans="1:11" ht="14.25" thickBot="1">
      <c r="A99" s="31">
        <v>43925.708333333336</v>
      </c>
      <c r="B99" s="32">
        <v>0</v>
      </c>
      <c r="C99" s="32">
        <v>0</v>
      </c>
      <c r="D99" s="32">
        <v>15</v>
      </c>
      <c r="F99" s="17">
        <v>0</v>
      </c>
      <c r="G99" s="19">
        <v>-1.095107E-7</v>
      </c>
      <c r="H99" s="25">
        <v>11.45124</v>
      </c>
      <c r="I99" s="34">
        <f t="shared" si="4"/>
        <v>0</v>
      </c>
      <c r="J99" s="35">
        <f t="shared" si="5"/>
        <v>1.095107E-7</v>
      </c>
      <c r="K99" s="35">
        <f t="shared" si="6"/>
        <v>3.5487599999999997</v>
      </c>
    </row>
    <row r="100" spans="1:11" ht="14.25" thickBot="1">
      <c r="A100" s="31">
        <v>43925.75</v>
      </c>
      <c r="B100" s="32">
        <v>0</v>
      </c>
      <c r="C100" s="32">
        <v>0</v>
      </c>
      <c r="D100" s="32">
        <v>14</v>
      </c>
      <c r="F100" s="17">
        <v>0</v>
      </c>
      <c r="G100" s="19">
        <v>-1.095107E-7</v>
      </c>
      <c r="H100" s="25">
        <v>10.37731</v>
      </c>
      <c r="I100" s="34">
        <f t="shared" si="4"/>
        <v>0</v>
      </c>
      <c r="J100" s="35">
        <f t="shared" si="5"/>
        <v>1.095107E-7</v>
      </c>
      <c r="K100" s="35">
        <f t="shared" si="6"/>
        <v>3.6226900000000004</v>
      </c>
    </row>
    <row r="101" spans="1:11" ht="14.25" thickBot="1">
      <c r="A101" s="31">
        <v>43925.791666666664</v>
      </c>
      <c r="B101" s="32">
        <v>0</v>
      </c>
      <c r="C101" s="32">
        <v>0</v>
      </c>
      <c r="D101" s="32">
        <v>14</v>
      </c>
      <c r="F101" s="17">
        <v>0</v>
      </c>
      <c r="G101" s="19">
        <v>-1.095107E-7</v>
      </c>
      <c r="H101" s="25">
        <v>9.5649510000000006</v>
      </c>
      <c r="I101" s="34">
        <f t="shared" si="4"/>
        <v>0</v>
      </c>
      <c r="J101" s="35">
        <f t="shared" si="5"/>
        <v>1.095107E-7</v>
      </c>
      <c r="K101" s="35">
        <f t="shared" si="6"/>
        <v>4.4350489999999994</v>
      </c>
    </row>
    <row r="102" spans="1:11" ht="14.25" thickBot="1">
      <c r="A102" s="31">
        <v>43925.833333333336</v>
      </c>
      <c r="B102" s="32">
        <v>0</v>
      </c>
      <c r="C102" s="32">
        <v>0</v>
      </c>
      <c r="D102" s="32">
        <v>13</v>
      </c>
      <c r="F102" s="17">
        <v>0</v>
      </c>
      <c r="G102" s="19">
        <v>-1.095107E-7</v>
      </c>
      <c r="H102" s="25">
        <v>8.6984949999999994</v>
      </c>
      <c r="I102" s="34">
        <f t="shared" si="4"/>
        <v>0</v>
      </c>
      <c r="J102" s="35">
        <f t="shared" si="5"/>
        <v>1.095107E-7</v>
      </c>
      <c r="K102" s="35">
        <f t="shared" si="6"/>
        <v>4.3015050000000006</v>
      </c>
    </row>
    <row r="103" spans="1:11" ht="14.25" thickBot="1">
      <c r="A103" s="31">
        <v>43925.875</v>
      </c>
      <c r="B103" s="32">
        <v>0</v>
      </c>
      <c r="C103" s="32">
        <v>0</v>
      </c>
      <c r="D103" s="32">
        <v>12</v>
      </c>
      <c r="F103" s="17">
        <v>0</v>
      </c>
      <c r="G103" s="19">
        <v>-1.095107E-7</v>
      </c>
      <c r="H103" s="25">
        <v>7.7300069999999996</v>
      </c>
      <c r="I103" s="34">
        <f t="shared" si="4"/>
        <v>0</v>
      </c>
      <c r="J103" s="35">
        <f t="shared" si="5"/>
        <v>1.095107E-7</v>
      </c>
      <c r="K103" s="35">
        <f t="shared" si="6"/>
        <v>4.2699930000000004</v>
      </c>
    </row>
    <row r="104" spans="1:11" ht="14.25" thickBot="1">
      <c r="A104" s="31">
        <v>43925.916666666664</v>
      </c>
      <c r="B104" s="32">
        <v>0</v>
      </c>
      <c r="C104" s="32">
        <v>0</v>
      </c>
      <c r="D104" s="32">
        <v>12</v>
      </c>
      <c r="F104" s="17">
        <v>0</v>
      </c>
      <c r="G104" s="19">
        <v>-1.095107E-7</v>
      </c>
      <c r="H104" s="25">
        <v>6.682296</v>
      </c>
      <c r="I104" s="34">
        <f t="shared" si="4"/>
        <v>0</v>
      </c>
      <c r="J104" s="35">
        <f t="shared" si="5"/>
        <v>1.095107E-7</v>
      </c>
      <c r="K104" s="35">
        <f t="shared" si="6"/>
        <v>5.317704</v>
      </c>
    </row>
    <row r="105" spans="1:11" ht="14.25" thickBot="1">
      <c r="A105" s="31">
        <v>43925.958333333336</v>
      </c>
      <c r="B105" s="32">
        <v>0</v>
      </c>
      <c r="C105" s="32">
        <v>0</v>
      </c>
      <c r="D105" s="32">
        <v>12</v>
      </c>
      <c r="F105" s="17">
        <v>0</v>
      </c>
      <c r="G105" s="19">
        <v>-1.095107E-7</v>
      </c>
      <c r="H105" s="25">
        <v>6.2251659999999998</v>
      </c>
      <c r="I105" s="34">
        <f t="shared" si="4"/>
        <v>0</v>
      </c>
      <c r="J105" s="35">
        <f t="shared" si="5"/>
        <v>1.095107E-7</v>
      </c>
      <c r="K105" s="35">
        <f t="shared" si="6"/>
        <v>5.7748340000000002</v>
      </c>
    </row>
    <row r="106" spans="1:11" ht="14.25" thickBot="1">
      <c r="A106" s="31">
        <v>43926</v>
      </c>
      <c r="B106" s="32">
        <v>0</v>
      </c>
      <c r="C106" s="32">
        <v>0</v>
      </c>
      <c r="D106" s="32">
        <v>11</v>
      </c>
      <c r="F106" s="17">
        <v>0</v>
      </c>
      <c r="G106" s="19">
        <v>-1.095107E-7</v>
      </c>
      <c r="H106" s="25">
        <v>5.8302899999999998</v>
      </c>
      <c r="I106" s="34">
        <f t="shared" si="4"/>
        <v>0</v>
      </c>
      <c r="J106" s="35">
        <f t="shared" si="5"/>
        <v>1.095107E-7</v>
      </c>
      <c r="K106" s="35">
        <f t="shared" si="6"/>
        <v>5.1697100000000002</v>
      </c>
    </row>
    <row r="107" spans="1:11" ht="14.25" thickBot="1">
      <c r="A107" s="31">
        <v>43926.041666666664</v>
      </c>
      <c r="B107" s="32">
        <v>0</v>
      </c>
      <c r="C107" s="32">
        <v>0</v>
      </c>
      <c r="D107" s="32">
        <v>11</v>
      </c>
      <c r="F107" s="17">
        <v>0</v>
      </c>
      <c r="G107" s="19">
        <v>-1.095107E-7</v>
      </c>
      <c r="H107" s="25">
        <v>5.4414980000000002</v>
      </c>
      <c r="I107" s="34">
        <f t="shared" si="4"/>
        <v>0</v>
      </c>
      <c r="J107" s="35">
        <f t="shared" si="5"/>
        <v>1.095107E-7</v>
      </c>
      <c r="K107" s="35">
        <f t="shared" si="6"/>
        <v>5.5585019999999998</v>
      </c>
    </row>
    <row r="108" spans="1:11" ht="14.25" thickBot="1">
      <c r="A108" s="31">
        <v>43926.083333333336</v>
      </c>
      <c r="B108" s="32">
        <v>0</v>
      </c>
      <c r="C108" s="32">
        <v>0</v>
      </c>
      <c r="D108" s="32">
        <v>11</v>
      </c>
      <c r="F108" s="17">
        <v>0</v>
      </c>
      <c r="G108" s="19">
        <v>-1.095107E-7</v>
      </c>
      <c r="H108" s="25">
        <v>4.7396390000000004</v>
      </c>
      <c r="I108" s="34">
        <f t="shared" si="4"/>
        <v>0</v>
      </c>
      <c r="J108" s="35">
        <f t="shared" si="5"/>
        <v>1.095107E-7</v>
      </c>
      <c r="K108" s="35">
        <f t="shared" si="6"/>
        <v>6.2603609999999996</v>
      </c>
    </row>
    <row r="109" spans="1:11" ht="14.25" thickBot="1">
      <c r="A109" s="31">
        <v>43926.125</v>
      </c>
      <c r="B109" s="32">
        <v>0</v>
      </c>
      <c r="C109" s="32">
        <v>0</v>
      </c>
      <c r="D109" s="32">
        <v>11</v>
      </c>
      <c r="F109" s="17">
        <v>0</v>
      </c>
      <c r="G109" s="19">
        <v>-1.095107E-7</v>
      </c>
      <c r="H109" s="25">
        <v>4.0730110000000002</v>
      </c>
      <c r="I109" s="34">
        <f t="shared" si="4"/>
        <v>0</v>
      </c>
      <c r="J109" s="35">
        <f t="shared" si="5"/>
        <v>1.095107E-7</v>
      </c>
      <c r="K109" s="35">
        <f t="shared" si="6"/>
        <v>6.9269889999999998</v>
      </c>
    </row>
    <row r="110" spans="1:11" ht="14.25" thickBot="1">
      <c r="A110" s="31">
        <v>43926.166666666664</v>
      </c>
      <c r="B110" s="32">
        <v>0.1</v>
      </c>
      <c r="C110" s="32">
        <v>3.9530000000000003E-2</v>
      </c>
      <c r="D110" s="32">
        <v>11</v>
      </c>
      <c r="F110" s="17">
        <v>0.1</v>
      </c>
      <c r="G110" s="19">
        <v>3.9529809999999999E-2</v>
      </c>
      <c r="H110" s="25">
        <v>3.629248</v>
      </c>
      <c r="I110" s="34">
        <f t="shared" si="4"/>
        <v>0</v>
      </c>
      <c r="J110" s="35">
        <f t="shared" si="5"/>
        <v>1.900000000040758E-7</v>
      </c>
      <c r="K110" s="35">
        <f t="shared" si="6"/>
        <v>7.3707519999999995</v>
      </c>
    </row>
    <row r="111" spans="1:11" ht="14.25" thickBot="1">
      <c r="A111" s="31">
        <v>43926.208333333336</v>
      </c>
      <c r="B111" s="32">
        <v>0.1</v>
      </c>
      <c r="C111" s="32">
        <v>3.9530000000000003E-2</v>
      </c>
      <c r="D111" s="32">
        <v>11</v>
      </c>
      <c r="F111" s="17">
        <v>0.1</v>
      </c>
      <c r="G111" s="19">
        <v>3.9529809999999999E-2</v>
      </c>
      <c r="H111" s="25">
        <v>3.5018579999999999</v>
      </c>
      <c r="I111" s="34">
        <f t="shared" si="4"/>
        <v>0</v>
      </c>
      <c r="J111" s="35">
        <f t="shared" si="5"/>
        <v>1.900000000040758E-7</v>
      </c>
      <c r="K111" s="35">
        <f t="shared" si="6"/>
        <v>7.4981419999999996</v>
      </c>
    </row>
    <row r="112" spans="1:11" ht="14.25" thickBot="1">
      <c r="A112" s="31">
        <v>43926.25</v>
      </c>
      <c r="B112" s="32">
        <v>0.1</v>
      </c>
      <c r="C112" s="32">
        <v>3.9530000000000003E-2</v>
      </c>
      <c r="D112" s="32">
        <v>11</v>
      </c>
      <c r="F112" s="17">
        <v>0.1</v>
      </c>
      <c r="G112" s="19">
        <v>3.9529809999999999E-2</v>
      </c>
      <c r="H112" s="25">
        <v>3.8722850000000002</v>
      </c>
      <c r="I112" s="34">
        <f t="shared" si="4"/>
        <v>0</v>
      </c>
      <c r="J112" s="35">
        <f t="shared" si="5"/>
        <v>1.900000000040758E-7</v>
      </c>
      <c r="K112" s="35">
        <f t="shared" si="6"/>
        <v>7.1277150000000002</v>
      </c>
    </row>
    <row r="113" spans="1:11" ht="14.25" thickBot="1">
      <c r="A113" s="31">
        <v>43926.291666666664</v>
      </c>
      <c r="B113" s="32">
        <v>0</v>
      </c>
      <c r="C113" s="32">
        <v>0</v>
      </c>
      <c r="D113" s="32">
        <v>12</v>
      </c>
      <c r="F113" s="17">
        <v>0</v>
      </c>
      <c r="G113" s="19">
        <v>-1.095107E-7</v>
      </c>
      <c r="H113" s="25">
        <v>4.5634860000000002</v>
      </c>
      <c r="I113" s="34">
        <f t="shared" si="4"/>
        <v>0</v>
      </c>
      <c r="J113" s="35">
        <f t="shared" si="5"/>
        <v>1.095107E-7</v>
      </c>
      <c r="K113" s="35">
        <f t="shared" si="6"/>
        <v>7.4365139999999998</v>
      </c>
    </row>
    <row r="114" spans="1:11" ht="14.25" thickBot="1">
      <c r="A114" s="31">
        <v>43926.333333333336</v>
      </c>
      <c r="B114" s="32">
        <v>0.1</v>
      </c>
      <c r="C114" s="32">
        <v>3.9530000000000003E-2</v>
      </c>
      <c r="D114" s="32">
        <v>13</v>
      </c>
      <c r="F114" s="17">
        <v>0.1</v>
      </c>
      <c r="G114" s="19">
        <v>3.9529809999999999E-2</v>
      </c>
      <c r="H114" s="25">
        <v>5.2922830000000003</v>
      </c>
      <c r="I114" s="34">
        <f t="shared" si="4"/>
        <v>0</v>
      </c>
      <c r="J114" s="35">
        <f t="shared" si="5"/>
        <v>1.900000000040758E-7</v>
      </c>
      <c r="K114" s="35">
        <f t="shared" si="6"/>
        <v>7.7077169999999997</v>
      </c>
    </row>
    <row r="115" spans="1:11" ht="14.25" thickBot="1">
      <c r="A115" s="31">
        <v>43926.375</v>
      </c>
      <c r="B115" s="32">
        <v>0</v>
      </c>
      <c r="C115" s="32">
        <v>0</v>
      </c>
      <c r="D115" s="32">
        <v>15</v>
      </c>
      <c r="F115" s="17">
        <v>0</v>
      </c>
      <c r="G115" s="19">
        <v>-1.095107E-7</v>
      </c>
      <c r="H115" s="25">
        <v>6.2151110000000003</v>
      </c>
      <c r="I115" s="34">
        <f t="shared" si="4"/>
        <v>0</v>
      </c>
      <c r="J115" s="35">
        <f t="shared" si="5"/>
        <v>1.095107E-7</v>
      </c>
      <c r="K115" s="35">
        <f t="shared" si="6"/>
        <v>8.7848889999999997</v>
      </c>
    </row>
    <row r="116" spans="1:11" ht="14.25" thickBot="1">
      <c r="A116" s="31">
        <v>43926.416666666664</v>
      </c>
      <c r="B116" s="32">
        <v>0</v>
      </c>
      <c r="C116" s="32">
        <v>0</v>
      </c>
      <c r="D116" s="32">
        <v>16</v>
      </c>
      <c r="F116" s="17">
        <v>0</v>
      </c>
      <c r="G116" s="19">
        <v>-1.095107E-7</v>
      </c>
      <c r="H116" s="25">
        <v>7.171913</v>
      </c>
      <c r="I116" s="34">
        <f t="shared" si="4"/>
        <v>0</v>
      </c>
      <c r="J116" s="35">
        <f t="shared" si="5"/>
        <v>1.095107E-7</v>
      </c>
      <c r="K116" s="35">
        <f t="shared" si="6"/>
        <v>8.828087</v>
      </c>
    </row>
    <row r="117" spans="1:11" ht="14.25" thickBot="1">
      <c r="A117" s="31">
        <v>43926.458333333336</v>
      </c>
      <c r="B117" s="32">
        <v>0</v>
      </c>
      <c r="C117" s="32">
        <v>0</v>
      </c>
      <c r="D117" s="32">
        <v>16</v>
      </c>
      <c r="F117" s="17">
        <v>0</v>
      </c>
      <c r="G117" s="19">
        <v>-1.095107E-7</v>
      </c>
      <c r="H117" s="25">
        <v>7.9299140000000001</v>
      </c>
      <c r="I117" s="34">
        <f t="shared" si="4"/>
        <v>0</v>
      </c>
      <c r="J117" s="35">
        <f t="shared" si="5"/>
        <v>1.095107E-7</v>
      </c>
      <c r="K117" s="35">
        <f t="shared" si="6"/>
        <v>8.0700859999999999</v>
      </c>
    </row>
    <row r="118" spans="1:11" ht="14.25" thickBot="1">
      <c r="A118" s="31">
        <v>43926.5</v>
      </c>
      <c r="B118" s="32">
        <v>0</v>
      </c>
      <c r="C118" s="32">
        <v>0</v>
      </c>
      <c r="D118" s="32">
        <v>17</v>
      </c>
      <c r="F118" s="17">
        <v>0</v>
      </c>
      <c r="G118" s="19">
        <v>-1.095107E-7</v>
      </c>
      <c r="H118" s="25">
        <v>8.3834710000000001</v>
      </c>
      <c r="I118" s="34">
        <f t="shared" si="4"/>
        <v>0</v>
      </c>
      <c r="J118" s="35">
        <f t="shared" si="5"/>
        <v>1.095107E-7</v>
      </c>
      <c r="K118" s="35">
        <f t="shared" si="6"/>
        <v>8.6165289999999999</v>
      </c>
    </row>
    <row r="119" spans="1:11" ht="14.25" thickBot="1">
      <c r="A119" s="31">
        <v>43926.541666666664</v>
      </c>
      <c r="B119" s="32">
        <v>0</v>
      </c>
      <c r="C119" s="32">
        <v>0</v>
      </c>
      <c r="D119" s="32">
        <v>17</v>
      </c>
      <c r="F119" s="17">
        <v>0</v>
      </c>
      <c r="G119" s="19">
        <v>-1.095107E-7</v>
      </c>
      <c r="H119" s="25">
        <v>8.4156010000000006</v>
      </c>
      <c r="I119" s="34">
        <f t="shared" si="4"/>
        <v>0</v>
      </c>
      <c r="J119" s="35">
        <f t="shared" si="5"/>
        <v>1.095107E-7</v>
      </c>
      <c r="K119" s="35">
        <f t="shared" si="6"/>
        <v>8.5843989999999994</v>
      </c>
    </row>
    <row r="120" spans="1:11" ht="14.25" thickBot="1">
      <c r="A120" s="31">
        <v>43926.583333333336</v>
      </c>
      <c r="B120" s="32">
        <v>0</v>
      </c>
      <c r="C120" s="32">
        <v>0</v>
      </c>
      <c r="D120" s="32">
        <v>17</v>
      </c>
      <c r="F120" s="17">
        <v>0</v>
      </c>
      <c r="G120" s="19">
        <v>-1.095107E-7</v>
      </c>
      <c r="H120" s="25">
        <v>8.0040490000000002</v>
      </c>
      <c r="I120" s="34">
        <f t="shared" si="4"/>
        <v>0</v>
      </c>
      <c r="J120" s="35">
        <f t="shared" si="5"/>
        <v>1.095107E-7</v>
      </c>
      <c r="K120" s="35">
        <f t="shared" si="6"/>
        <v>8.9959509999999998</v>
      </c>
    </row>
    <row r="121" spans="1:11" ht="14.25" thickBot="1">
      <c r="A121" s="31">
        <v>43926.625</v>
      </c>
      <c r="B121" s="32">
        <v>0</v>
      </c>
      <c r="C121" s="32">
        <v>0</v>
      </c>
      <c r="D121" s="32">
        <v>16</v>
      </c>
      <c r="F121" s="17">
        <v>0</v>
      </c>
      <c r="G121" s="19">
        <v>-1.095107E-7</v>
      </c>
      <c r="H121" s="25">
        <v>7.3062760000000004</v>
      </c>
      <c r="I121" s="34">
        <f t="shared" si="4"/>
        <v>0</v>
      </c>
      <c r="J121" s="35">
        <f t="shared" si="5"/>
        <v>1.095107E-7</v>
      </c>
      <c r="K121" s="35">
        <f t="shared" si="6"/>
        <v>8.6937239999999996</v>
      </c>
    </row>
    <row r="122" spans="1:11" ht="14.25" thickBot="1">
      <c r="A122" s="31">
        <v>43926.666666666664</v>
      </c>
      <c r="B122" s="32">
        <v>0</v>
      </c>
      <c r="C122" s="32">
        <v>0</v>
      </c>
      <c r="D122" s="32">
        <v>16</v>
      </c>
      <c r="F122" s="17">
        <v>0</v>
      </c>
      <c r="G122" s="19">
        <v>-1.095107E-7</v>
      </c>
      <c r="H122" s="25">
        <v>6.5736330000000001</v>
      </c>
      <c r="I122" s="34">
        <f t="shared" si="4"/>
        <v>0</v>
      </c>
      <c r="J122" s="35">
        <f t="shared" si="5"/>
        <v>1.095107E-7</v>
      </c>
      <c r="K122" s="35">
        <f t="shared" si="6"/>
        <v>9.4263669999999991</v>
      </c>
    </row>
    <row r="123" spans="1:11" ht="14.25" thickBot="1">
      <c r="A123" s="31">
        <v>43926.708333333336</v>
      </c>
      <c r="B123" s="32">
        <v>0</v>
      </c>
      <c r="C123" s="32">
        <v>0</v>
      </c>
      <c r="D123" s="32">
        <v>15</v>
      </c>
      <c r="F123" s="17">
        <v>0</v>
      </c>
      <c r="G123" s="19">
        <v>-1.095107E-7</v>
      </c>
      <c r="H123" s="25">
        <v>5.8735119999999998</v>
      </c>
      <c r="I123" s="34">
        <f t="shared" si="4"/>
        <v>0</v>
      </c>
      <c r="J123" s="35">
        <f t="shared" si="5"/>
        <v>1.095107E-7</v>
      </c>
      <c r="K123" s="35">
        <f t="shared" si="6"/>
        <v>9.1264880000000002</v>
      </c>
    </row>
    <row r="124" spans="1:11" ht="14.25" thickBot="1">
      <c r="A124" s="31">
        <v>43926.75</v>
      </c>
      <c r="B124" s="32">
        <v>0</v>
      </c>
      <c r="C124" s="32">
        <v>0</v>
      </c>
      <c r="D124" s="32">
        <v>14</v>
      </c>
      <c r="F124" s="17">
        <v>0</v>
      </c>
      <c r="G124" s="19">
        <v>-1.095107E-7</v>
      </c>
      <c r="H124" s="25">
        <v>5.1965329999999996</v>
      </c>
      <c r="I124" s="34">
        <f t="shared" si="4"/>
        <v>0</v>
      </c>
      <c r="J124" s="35">
        <f t="shared" si="5"/>
        <v>1.095107E-7</v>
      </c>
      <c r="K124" s="35">
        <f t="shared" si="6"/>
        <v>8.8034670000000013</v>
      </c>
    </row>
    <row r="125" spans="1:11" ht="14.25" thickBot="1">
      <c r="A125" s="31">
        <v>43926.791666666664</v>
      </c>
      <c r="B125" s="32">
        <v>0.1</v>
      </c>
      <c r="C125" s="32">
        <v>3.9530000000000003E-2</v>
      </c>
      <c r="D125" s="32">
        <v>14</v>
      </c>
      <c r="F125" s="17">
        <v>0.1</v>
      </c>
      <c r="G125" s="19">
        <v>3.9529809999999999E-2</v>
      </c>
      <c r="H125" s="25">
        <v>4.604196</v>
      </c>
      <c r="I125" s="34">
        <f t="shared" si="4"/>
        <v>0</v>
      </c>
      <c r="J125" s="35">
        <f t="shared" si="5"/>
        <v>1.900000000040758E-7</v>
      </c>
      <c r="K125" s="35">
        <f t="shared" si="6"/>
        <v>9.395804</v>
      </c>
    </row>
    <row r="126" spans="1:11" ht="14.25" thickBot="1">
      <c r="A126" s="31">
        <v>43926.833333333336</v>
      </c>
      <c r="B126" s="32">
        <v>0.1</v>
      </c>
      <c r="C126" s="32">
        <v>3.9530000000000003E-2</v>
      </c>
      <c r="D126" s="32">
        <v>13</v>
      </c>
      <c r="F126" s="17">
        <v>0.1</v>
      </c>
      <c r="G126" s="19">
        <v>3.9529809999999999E-2</v>
      </c>
      <c r="H126" s="25">
        <v>4.2719189999999996</v>
      </c>
      <c r="I126" s="34">
        <f t="shared" si="4"/>
        <v>0</v>
      </c>
      <c r="J126" s="35">
        <f t="shared" si="5"/>
        <v>1.900000000040758E-7</v>
      </c>
      <c r="K126" s="35">
        <f t="shared" si="6"/>
        <v>8.7280809999999995</v>
      </c>
    </row>
    <row r="127" spans="1:11" ht="14.25" thickBot="1">
      <c r="A127" s="31">
        <v>43926.875</v>
      </c>
      <c r="B127" s="32">
        <v>0</v>
      </c>
      <c r="C127" s="32">
        <v>0</v>
      </c>
      <c r="D127" s="32">
        <v>13</v>
      </c>
      <c r="F127" s="17">
        <v>0</v>
      </c>
      <c r="G127" s="19">
        <v>-1.095107E-7</v>
      </c>
      <c r="H127" s="25">
        <v>4.2784050000000002</v>
      </c>
      <c r="I127" s="34">
        <f t="shared" si="4"/>
        <v>0</v>
      </c>
      <c r="J127" s="35">
        <f t="shared" si="5"/>
        <v>1.095107E-7</v>
      </c>
      <c r="K127" s="35">
        <f t="shared" si="6"/>
        <v>8.7215950000000007</v>
      </c>
    </row>
    <row r="128" spans="1:11" ht="14.25" thickBot="1">
      <c r="A128" s="31">
        <v>43926.916666666664</v>
      </c>
      <c r="B128" s="32">
        <v>0</v>
      </c>
      <c r="C128" s="32">
        <v>0</v>
      </c>
      <c r="D128" s="32">
        <v>13</v>
      </c>
      <c r="F128" s="17">
        <v>0</v>
      </c>
      <c r="G128" s="19">
        <v>-1.095107E-7</v>
      </c>
      <c r="H128" s="25">
        <v>4.5325049999999996</v>
      </c>
      <c r="I128" s="34">
        <f t="shared" si="4"/>
        <v>0</v>
      </c>
      <c r="J128" s="35">
        <f t="shared" si="5"/>
        <v>1.095107E-7</v>
      </c>
      <c r="K128" s="35">
        <f t="shared" si="6"/>
        <v>8.4674949999999995</v>
      </c>
    </row>
    <row r="129" spans="1:11" ht="14.25" thickBot="1">
      <c r="A129" s="31">
        <v>43926.958333333336</v>
      </c>
      <c r="B129" s="32">
        <v>0</v>
      </c>
      <c r="C129" s="32">
        <v>0</v>
      </c>
      <c r="D129" s="32">
        <v>14</v>
      </c>
      <c r="F129" s="17">
        <v>0</v>
      </c>
      <c r="G129" s="19">
        <v>-1.095107E-7</v>
      </c>
      <c r="H129" s="25">
        <v>4.8526999999999996</v>
      </c>
      <c r="I129" s="34">
        <f t="shared" si="4"/>
        <v>0</v>
      </c>
      <c r="J129" s="35">
        <f t="shared" si="5"/>
        <v>1.095107E-7</v>
      </c>
      <c r="K129" s="35">
        <f t="shared" si="6"/>
        <v>9.1473000000000013</v>
      </c>
    </row>
    <row r="130" spans="1:11" ht="14.25" thickBot="1">
      <c r="A130" s="31">
        <v>43927</v>
      </c>
      <c r="B130" s="32">
        <v>0</v>
      </c>
      <c r="C130" s="32">
        <v>0</v>
      </c>
      <c r="D130" s="32">
        <v>14</v>
      </c>
      <c r="F130" s="17">
        <v>0</v>
      </c>
      <c r="G130" s="19">
        <v>-1.095107E-7</v>
      </c>
      <c r="H130" s="25">
        <v>5.1017809999999999</v>
      </c>
      <c r="I130" s="34">
        <f t="shared" si="4"/>
        <v>0</v>
      </c>
      <c r="J130" s="35">
        <f t="shared" si="5"/>
        <v>1.095107E-7</v>
      </c>
      <c r="K130" s="35">
        <f t="shared" si="6"/>
        <v>8.898219000000001</v>
      </c>
    </row>
    <row r="131" spans="1:11" ht="14.25" thickBot="1">
      <c r="A131" s="31">
        <v>43927.041666666664</v>
      </c>
      <c r="B131" s="32">
        <v>0</v>
      </c>
      <c r="C131" s="32">
        <v>0</v>
      </c>
      <c r="D131" s="32">
        <v>14</v>
      </c>
      <c r="F131" s="17">
        <v>0</v>
      </c>
      <c r="G131" s="19">
        <v>-1.095107E-7</v>
      </c>
      <c r="H131" s="25">
        <v>5.2068859999999999</v>
      </c>
      <c r="I131" s="34">
        <f t="shared" si="4"/>
        <v>0</v>
      </c>
      <c r="J131" s="35">
        <f t="shared" si="5"/>
        <v>1.095107E-7</v>
      </c>
      <c r="K131" s="35">
        <f t="shared" si="6"/>
        <v>8.7931139999999992</v>
      </c>
    </row>
    <row r="132" spans="1:11" ht="14.25" thickBot="1">
      <c r="A132" s="31">
        <v>43927.083333333336</v>
      </c>
      <c r="B132" s="32">
        <v>0</v>
      </c>
      <c r="C132" s="32">
        <v>0</v>
      </c>
      <c r="D132" s="32">
        <v>14</v>
      </c>
      <c r="F132" s="17">
        <v>0</v>
      </c>
      <c r="G132" s="19">
        <v>-1.095107E-7</v>
      </c>
      <c r="H132" s="25">
        <v>5.1485139999999996</v>
      </c>
      <c r="I132" s="34">
        <f t="shared" ref="I132:I148" si="7">B132-F132</f>
        <v>0</v>
      </c>
      <c r="J132" s="35">
        <f t="shared" ref="J132:J148" si="8">C132-G132</f>
        <v>1.095107E-7</v>
      </c>
      <c r="K132" s="35">
        <f t="shared" ref="K132:K148" si="9">D132-H132</f>
        <v>8.8514860000000013</v>
      </c>
    </row>
    <row r="133" spans="1:11" ht="14.25" thickBot="1">
      <c r="A133" s="31">
        <v>43927.125</v>
      </c>
      <c r="B133" s="32">
        <v>0</v>
      </c>
      <c r="C133" s="32">
        <v>0</v>
      </c>
      <c r="D133" s="32">
        <v>13</v>
      </c>
      <c r="F133" s="17">
        <v>0</v>
      </c>
      <c r="G133" s="19">
        <v>-1.095107E-7</v>
      </c>
      <c r="H133" s="25">
        <v>4.9418240000000004</v>
      </c>
      <c r="I133" s="34">
        <f t="shared" si="7"/>
        <v>0</v>
      </c>
      <c r="J133" s="35">
        <f t="shared" si="8"/>
        <v>1.095107E-7</v>
      </c>
      <c r="K133" s="35">
        <f t="shared" si="9"/>
        <v>8.0581759999999996</v>
      </c>
    </row>
    <row r="134" spans="1:11" ht="14.25" thickBot="1">
      <c r="A134" s="31">
        <v>43927.166666666664</v>
      </c>
      <c r="B134" s="32">
        <v>0.1</v>
      </c>
      <c r="C134" s="32">
        <v>3.9530000000000003E-2</v>
      </c>
      <c r="D134" s="32">
        <v>13</v>
      </c>
      <c r="F134" s="17">
        <v>0.1</v>
      </c>
      <c r="G134" s="19">
        <v>3.9529809999999999E-2</v>
      </c>
      <c r="H134" s="25">
        <v>4.6812769999999997</v>
      </c>
      <c r="I134" s="34">
        <f t="shared" si="7"/>
        <v>0</v>
      </c>
      <c r="J134" s="35">
        <f t="shared" si="8"/>
        <v>1.900000000040758E-7</v>
      </c>
      <c r="K134" s="35">
        <f t="shared" si="9"/>
        <v>8.3187230000000003</v>
      </c>
    </row>
    <row r="135" spans="1:11" ht="14.25" thickBot="1">
      <c r="A135" s="31">
        <v>43927.208333333336</v>
      </c>
      <c r="B135" s="32">
        <v>0</v>
      </c>
      <c r="C135" s="32">
        <v>0</v>
      </c>
      <c r="D135" s="32">
        <v>13</v>
      </c>
      <c r="F135" s="17">
        <v>0</v>
      </c>
      <c r="G135" s="19">
        <v>-1.095107E-7</v>
      </c>
      <c r="H135" s="25">
        <v>4.4882939999999998</v>
      </c>
      <c r="I135" s="34">
        <f t="shared" si="7"/>
        <v>0</v>
      </c>
      <c r="J135" s="35">
        <f t="shared" si="8"/>
        <v>1.095107E-7</v>
      </c>
      <c r="K135" s="35">
        <f t="shared" si="9"/>
        <v>8.5117060000000002</v>
      </c>
    </row>
    <row r="136" spans="1:11" ht="14.25" thickBot="1">
      <c r="A136" s="31">
        <v>43927.25</v>
      </c>
      <c r="B136" s="32">
        <v>0</v>
      </c>
      <c r="C136" s="32">
        <v>0</v>
      </c>
      <c r="D136" s="32">
        <v>13</v>
      </c>
      <c r="F136" s="17">
        <v>0</v>
      </c>
      <c r="G136" s="19">
        <v>-1.095107E-7</v>
      </c>
      <c r="H136" s="25">
        <v>4.4188780000000003</v>
      </c>
      <c r="I136" s="34">
        <f t="shared" si="7"/>
        <v>0</v>
      </c>
      <c r="J136" s="35">
        <f t="shared" si="8"/>
        <v>1.095107E-7</v>
      </c>
      <c r="K136" s="35">
        <f t="shared" si="9"/>
        <v>8.5811220000000006</v>
      </c>
    </row>
    <row r="137" spans="1:11" ht="14.25" thickBot="1">
      <c r="A137" s="31">
        <v>43927.291666666664</v>
      </c>
      <c r="B137" s="32">
        <v>0</v>
      </c>
      <c r="C137" s="32">
        <v>0</v>
      </c>
      <c r="D137" s="32">
        <v>13</v>
      </c>
      <c r="F137" s="17">
        <v>0</v>
      </c>
      <c r="G137" s="19">
        <v>-1.095107E-7</v>
      </c>
      <c r="H137" s="25">
        <v>4.381653</v>
      </c>
      <c r="I137" s="34">
        <f t="shared" si="7"/>
        <v>0</v>
      </c>
      <c r="J137" s="35">
        <f t="shared" si="8"/>
        <v>1.095107E-7</v>
      </c>
      <c r="K137" s="35">
        <f t="shared" si="9"/>
        <v>8.618347</v>
      </c>
    </row>
    <row r="138" spans="1:11" ht="14.25" thickBot="1">
      <c r="A138" s="31">
        <v>43927.333333333336</v>
      </c>
      <c r="B138" s="32">
        <v>0.1</v>
      </c>
      <c r="C138" s="32">
        <v>3.9530000000000003E-2</v>
      </c>
      <c r="D138" s="32">
        <v>12</v>
      </c>
      <c r="F138" s="17">
        <v>0.1</v>
      </c>
      <c r="G138" s="19">
        <v>3.9529809999999999E-2</v>
      </c>
      <c r="H138" s="25">
        <v>4.397278</v>
      </c>
      <c r="I138" s="34">
        <f t="shared" si="7"/>
        <v>0</v>
      </c>
      <c r="J138" s="35">
        <f t="shared" si="8"/>
        <v>1.900000000040758E-7</v>
      </c>
      <c r="K138" s="35">
        <f t="shared" si="9"/>
        <v>7.602722</v>
      </c>
    </row>
    <row r="139" spans="1:11" ht="14.25" thickBot="1">
      <c r="A139" s="31">
        <v>43927.375</v>
      </c>
      <c r="B139" s="32">
        <v>0.1</v>
      </c>
      <c r="C139" s="32">
        <v>3.9530000000000003E-2</v>
      </c>
      <c r="D139" s="32">
        <v>13</v>
      </c>
      <c r="F139" s="17">
        <v>0.1</v>
      </c>
      <c r="G139" s="19">
        <v>3.9529809999999999E-2</v>
      </c>
      <c r="H139" s="25">
        <v>4.5752959999999998</v>
      </c>
      <c r="I139" s="34">
        <f t="shared" si="7"/>
        <v>0</v>
      </c>
      <c r="J139" s="35">
        <f t="shared" si="8"/>
        <v>1.900000000040758E-7</v>
      </c>
      <c r="K139" s="35">
        <f t="shared" si="9"/>
        <v>8.4247040000000002</v>
      </c>
    </row>
    <row r="140" spans="1:11" ht="14.25" thickBot="1">
      <c r="A140" s="31">
        <v>43927.416666666664</v>
      </c>
      <c r="B140" s="32">
        <v>0.1</v>
      </c>
      <c r="C140" s="32">
        <v>3.9530000000000003E-2</v>
      </c>
      <c r="D140" s="32">
        <v>13</v>
      </c>
      <c r="F140" s="17">
        <v>0.1</v>
      </c>
      <c r="G140" s="19">
        <v>3.9529809999999999E-2</v>
      </c>
      <c r="H140" s="25">
        <v>5.0494409999999998</v>
      </c>
      <c r="I140" s="34">
        <f t="shared" si="7"/>
        <v>0</v>
      </c>
      <c r="J140" s="35">
        <f t="shared" si="8"/>
        <v>1.900000000040758E-7</v>
      </c>
      <c r="K140" s="35">
        <f t="shared" si="9"/>
        <v>7.9505590000000002</v>
      </c>
    </row>
    <row r="141" spans="1:11" ht="14.25" thickBot="1">
      <c r="A141" s="31">
        <v>43927.458333333336</v>
      </c>
      <c r="B141" s="32">
        <v>0</v>
      </c>
      <c r="C141" s="32">
        <v>0</v>
      </c>
      <c r="D141" s="32">
        <v>14</v>
      </c>
      <c r="F141" s="17">
        <v>0</v>
      </c>
      <c r="G141" s="19">
        <v>-1.095107E-7</v>
      </c>
      <c r="H141" s="25">
        <v>5.7881669999999996</v>
      </c>
      <c r="I141" s="34">
        <f t="shared" si="7"/>
        <v>0</v>
      </c>
      <c r="J141" s="35">
        <f t="shared" si="8"/>
        <v>1.095107E-7</v>
      </c>
      <c r="K141" s="35">
        <f t="shared" si="9"/>
        <v>8.2118330000000004</v>
      </c>
    </row>
    <row r="142" spans="1:11" ht="14.25" thickBot="1">
      <c r="A142" s="31">
        <v>43927.5</v>
      </c>
      <c r="B142" s="32">
        <v>0</v>
      </c>
      <c r="C142" s="32">
        <v>0</v>
      </c>
      <c r="D142" s="32">
        <v>14</v>
      </c>
      <c r="F142" s="17">
        <v>0</v>
      </c>
      <c r="G142" s="19">
        <v>-1.095107E-7</v>
      </c>
      <c r="H142" s="25">
        <v>6.6223289999999997</v>
      </c>
      <c r="I142" s="34">
        <f t="shared" si="7"/>
        <v>0</v>
      </c>
      <c r="J142" s="35">
        <f t="shared" si="8"/>
        <v>1.095107E-7</v>
      </c>
      <c r="K142" s="35">
        <f t="shared" si="9"/>
        <v>7.3776710000000003</v>
      </c>
    </row>
    <row r="143" spans="1:11" ht="14.25" thickBot="1">
      <c r="A143" s="31">
        <v>43927.541666666664</v>
      </c>
      <c r="B143" s="32">
        <v>0</v>
      </c>
      <c r="C143" s="32">
        <v>0</v>
      </c>
      <c r="D143" s="32">
        <v>15</v>
      </c>
      <c r="F143" s="17">
        <v>0</v>
      </c>
      <c r="G143" s="19">
        <v>-1.095107E-7</v>
      </c>
      <c r="H143" s="25">
        <v>7.3367509999999996</v>
      </c>
      <c r="I143" s="34">
        <f t="shared" si="7"/>
        <v>0</v>
      </c>
      <c r="J143" s="35">
        <f t="shared" si="8"/>
        <v>1.095107E-7</v>
      </c>
      <c r="K143" s="35">
        <f t="shared" si="9"/>
        <v>7.6632490000000004</v>
      </c>
    </row>
    <row r="144" spans="1:11" ht="14.25" thickBot="1">
      <c r="A144" s="31">
        <v>43927.583333333336</v>
      </c>
      <c r="B144" s="32">
        <v>0.1</v>
      </c>
      <c r="C144" s="32">
        <v>3.9530000000000003E-2</v>
      </c>
      <c r="D144" s="32">
        <v>16</v>
      </c>
      <c r="F144" s="17">
        <v>0.1</v>
      </c>
      <c r="G144" s="19">
        <v>3.9529809999999999E-2</v>
      </c>
      <c r="H144" s="25">
        <v>7.879575</v>
      </c>
      <c r="I144" s="34">
        <f t="shared" si="7"/>
        <v>0</v>
      </c>
      <c r="J144" s="35">
        <f t="shared" si="8"/>
        <v>1.900000000040758E-7</v>
      </c>
      <c r="K144" s="35">
        <f t="shared" si="9"/>
        <v>8.1204250000000009</v>
      </c>
    </row>
    <row r="145" spans="1:11" ht="14.25" thickBot="1">
      <c r="A145" s="31">
        <v>43927.625</v>
      </c>
      <c r="B145" s="32">
        <v>0</v>
      </c>
      <c r="C145" s="32">
        <v>0</v>
      </c>
      <c r="D145" s="32">
        <v>16</v>
      </c>
      <c r="F145" s="17">
        <v>0</v>
      </c>
      <c r="G145" s="19">
        <v>-1.095107E-7</v>
      </c>
      <c r="H145" s="25">
        <v>8.2632200000000005</v>
      </c>
      <c r="I145" s="34">
        <f t="shared" si="7"/>
        <v>0</v>
      </c>
      <c r="J145" s="35">
        <f t="shared" si="8"/>
        <v>1.095107E-7</v>
      </c>
      <c r="K145" s="35">
        <f t="shared" si="9"/>
        <v>7.7367799999999995</v>
      </c>
    </row>
    <row r="146" spans="1:11" ht="14.25" thickBot="1">
      <c r="A146" s="31">
        <v>43927.666666666664</v>
      </c>
      <c r="B146" s="32">
        <v>0</v>
      </c>
      <c r="C146" s="32">
        <v>0</v>
      </c>
      <c r="D146" s="33">
        <v>16</v>
      </c>
      <c r="F146" s="17">
        <v>0</v>
      </c>
      <c r="G146" s="19">
        <v>-1.095107E-7</v>
      </c>
      <c r="H146" s="25">
        <v>8.5006280000000007</v>
      </c>
      <c r="I146" s="34">
        <f t="shared" si="7"/>
        <v>0</v>
      </c>
      <c r="J146" s="35">
        <f t="shared" si="8"/>
        <v>1.095107E-7</v>
      </c>
      <c r="K146" s="35">
        <f t="shared" si="9"/>
        <v>7.4993719999999993</v>
      </c>
    </row>
    <row r="147" spans="1:11" ht="14.25" thickBot="1">
      <c r="A147" s="31">
        <v>43927.708333333336</v>
      </c>
      <c r="B147" s="32">
        <v>0.1</v>
      </c>
      <c r="C147" s="32">
        <v>3.9530000000000003E-2</v>
      </c>
      <c r="F147" s="17">
        <v>0.1</v>
      </c>
      <c r="G147" s="19">
        <v>3.9529809999999999E-2</v>
      </c>
      <c r="H147" s="25">
        <v>8.6268949999999993</v>
      </c>
      <c r="I147" s="34">
        <f t="shared" si="7"/>
        <v>0</v>
      </c>
      <c r="J147" s="35">
        <f t="shared" si="8"/>
        <v>1.900000000040758E-7</v>
      </c>
      <c r="K147" s="35">
        <f t="shared" si="9"/>
        <v>-8.6268949999999993</v>
      </c>
    </row>
    <row r="148" spans="1:11">
      <c r="G148" s="19">
        <v>0</v>
      </c>
      <c r="H148" s="25">
        <v>8.6834240000000005</v>
      </c>
      <c r="I148" s="34">
        <f t="shared" si="7"/>
        <v>0</v>
      </c>
      <c r="J148" s="35">
        <f t="shared" si="8"/>
        <v>0</v>
      </c>
      <c r="K148" s="35">
        <f t="shared" si="9"/>
        <v>-8.6834240000000005</v>
      </c>
    </row>
  </sheetData>
  <mergeCells count="3">
    <mergeCell ref="F1:F2"/>
    <mergeCell ref="G1:G2"/>
    <mergeCell ref="H1:H2"/>
  </mergeCells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41"/>
  <sheetViews>
    <sheetView workbookViewId="0">
      <selection activeCell="M19" sqref="M19"/>
    </sheetView>
  </sheetViews>
  <sheetFormatPr defaultRowHeight="13.5"/>
  <cols>
    <col min="1" max="1" width="17.125" style="1" customWidth="1"/>
    <col min="2" max="2" width="9.125" style="18" customWidth="1"/>
    <col min="3" max="3" width="13.75" style="19" bestFit="1" customWidth="1"/>
    <col min="4" max="4" width="12" style="19" bestFit="1" customWidth="1"/>
    <col min="6" max="20" width="9" style="35"/>
  </cols>
  <sheetData>
    <row r="1" spans="1:20" ht="13.5" customHeight="1">
      <c r="A1" s="39" t="s">
        <v>2</v>
      </c>
      <c r="B1" s="40" t="s">
        <v>3</v>
      </c>
      <c r="C1" s="46" t="s">
        <v>17</v>
      </c>
      <c r="D1" s="44" t="s">
        <v>20</v>
      </c>
      <c r="E1" s="44" t="s">
        <v>21</v>
      </c>
    </row>
    <row r="2" spans="1:20">
      <c r="A2" s="39"/>
      <c r="B2" s="41"/>
      <c r="C2" s="47"/>
      <c r="D2" s="45"/>
      <c r="E2" s="45"/>
      <c r="F2" s="35">
        <v>0</v>
      </c>
      <c r="G2" s="35">
        <v>0.1186999</v>
      </c>
      <c r="H2" s="35">
        <v>0.15834000000000001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5">
        <v>0</v>
      </c>
      <c r="Q2" s="35">
        <v>0</v>
      </c>
      <c r="R2" s="35">
        <v>0</v>
      </c>
      <c r="S2" s="35">
        <v>0</v>
      </c>
      <c r="T2" s="35">
        <v>0</v>
      </c>
    </row>
    <row r="3" spans="1:20">
      <c r="A3" s="16">
        <v>43921.708333333336</v>
      </c>
      <c r="B3" s="17">
        <v>0</v>
      </c>
      <c r="C3" s="19">
        <v>-1.095107E-7</v>
      </c>
      <c r="D3" s="19">
        <v>0</v>
      </c>
      <c r="E3">
        <f>D3*2377.84</f>
        <v>0</v>
      </c>
      <c r="F3" s="35">
        <f>0*E3</f>
        <v>0</v>
      </c>
    </row>
    <row r="4" spans="1:20">
      <c r="A4" s="16">
        <v>43921.75</v>
      </c>
      <c r="B4" s="17">
        <v>0.3</v>
      </c>
      <c r="C4" s="21">
        <v>0.1186999</v>
      </c>
      <c r="D4" s="21">
        <v>8.8659260654821992E-4</v>
      </c>
      <c r="E4">
        <f t="shared" ref="E4:E67" si="0">D4*2377.84</f>
        <v>2.1081753635546194</v>
      </c>
      <c r="F4" s="35">
        <f t="shared" ref="F4:F67" si="1">0*E4</f>
        <v>0</v>
      </c>
      <c r="G4" s="35">
        <f>E3*$G$2</f>
        <v>0</v>
      </c>
    </row>
    <row r="5" spans="1:20">
      <c r="A5" s="16">
        <v>43921.791666666664</v>
      </c>
      <c r="B5" s="17">
        <v>0.4</v>
      </c>
      <c r="C5" s="21">
        <v>0.15834000000000001</v>
      </c>
      <c r="D5" s="21">
        <v>3.3096943516284227E-3</v>
      </c>
      <c r="E5">
        <f t="shared" si="0"/>
        <v>7.8699236170761289</v>
      </c>
      <c r="F5" s="35">
        <f t="shared" si="1"/>
        <v>0</v>
      </c>
      <c r="G5" s="35">
        <f>E4*$G$2</f>
        <v>0.25024020483639697</v>
      </c>
      <c r="H5" s="35">
        <f>E3*$H$2</f>
        <v>0</v>
      </c>
    </row>
    <row r="6" spans="1:20">
      <c r="A6" s="16">
        <v>43921.833333333336</v>
      </c>
      <c r="B6" s="17">
        <v>0</v>
      </c>
      <c r="C6" s="19">
        <v>-1.095107E-7</v>
      </c>
      <c r="D6" s="19">
        <v>7.2477278299629688E-3</v>
      </c>
      <c r="E6">
        <f t="shared" si="0"/>
        <v>17.233937143199146</v>
      </c>
      <c r="F6" s="35">
        <f t="shared" si="1"/>
        <v>0</v>
      </c>
      <c r="G6" s="35">
        <f>E5*$G$2</f>
        <v>0.93415914635457475</v>
      </c>
      <c r="H6" s="35">
        <f t="shared" ref="H6:H69" si="2">E4*$H$2</f>
        <v>0.33380848706523847</v>
      </c>
      <c r="I6" s="35">
        <f>E3*$I$2</f>
        <v>0</v>
      </c>
    </row>
    <row r="7" spans="1:20">
      <c r="A7" s="16">
        <v>43921.875</v>
      </c>
      <c r="B7" s="17">
        <v>0</v>
      </c>
      <c r="C7" s="19">
        <v>-1.095107E-7</v>
      </c>
      <c r="D7" s="19">
        <v>1.1640067212283611E-2</v>
      </c>
      <c r="E7">
        <f t="shared" si="0"/>
        <v>27.678217420056463</v>
      </c>
      <c r="F7" s="35">
        <f t="shared" si="1"/>
        <v>0</v>
      </c>
      <c r="G7" s="35">
        <f t="shared" ref="G7:G68" si="3">E6*$G$2</f>
        <v>2.0456666155040244</v>
      </c>
      <c r="H7" s="35">
        <f t="shared" si="2"/>
        <v>1.2461237055278342</v>
      </c>
      <c r="I7" s="35">
        <f t="shared" ref="I7:I70" si="4">E4*$I$2</f>
        <v>0</v>
      </c>
      <c r="J7" s="35">
        <f>E3*J$2</f>
        <v>0</v>
      </c>
    </row>
    <row r="8" spans="1:20">
      <c r="A8" s="16">
        <v>43921.916666666664</v>
      </c>
      <c r="B8" s="17">
        <v>0</v>
      </c>
      <c r="C8" s="19">
        <v>-1.095107E-7</v>
      </c>
      <c r="D8" s="19">
        <v>1.5575750730931759E-2</v>
      </c>
      <c r="E8">
        <f t="shared" si="0"/>
        <v>37.036643118038775</v>
      </c>
      <c r="F8" s="35">
        <f t="shared" si="1"/>
        <v>0</v>
      </c>
      <c r="G8" s="35">
        <f t="shared" si="3"/>
        <v>3.2854016399389598</v>
      </c>
      <c r="H8" s="35">
        <f t="shared" si="2"/>
        <v>2.7288216072541531</v>
      </c>
      <c r="I8" s="35">
        <f t="shared" si="4"/>
        <v>0</v>
      </c>
      <c r="J8" s="35">
        <f t="shared" ref="J8:J71" si="5">E4*J$2</f>
        <v>0</v>
      </c>
    </row>
    <row r="9" spans="1:20">
      <c r="A9" s="16">
        <v>43921.958333333336</v>
      </c>
      <c r="B9" s="17">
        <v>0</v>
      </c>
      <c r="C9" s="19">
        <v>-1.095107E-7</v>
      </c>
      <c r="D9" s="19">
        <v>1.8515901640057564E-2</v>
      </c>
      <c r="E9">
        <f t="shared" si="0"/>
        <v>44.027851555794477</v>
      </c>
      <c r="F9" s="35">
        <f t="shared" si="1"/>
        <v>0</v>
      </c>
      <c r="G9" s="35">
        <f t="shared" si="3"/>
        <v>4.3962458344468907</v>
      </c>
      <c r="H9" s="35">
        <f t="shared" si="2"/>
        <v>4.3825689462917401</v>
      </c>
      <c r="I9" s="35">
        <f t="shared" si="4"/>
        <v>0</v>
      </c>
      <c r="J9" s="35">
        <f t="shared" si="5"/>
        <v>0</v>
      </c>
    </row>
    <row r="10" spans="1:20">
      <c r="A10" s="16">
        <v>43922</v>
      </c>
      <c r="B10" s="17">
        <v>0</v>
      </c>
      <c r="C10" s="19">
        <v>-1.095107E-7</v>
      </c>
      <c r="D10" s="19">
        <v>2.0266640931367874E-2</v>
      </c>
      <c r="E10">
        <f t="shared" si="0"/>
        <v>48.190829472243792</v>
      </c>
      <c r="F10" s="35">
        <f t="shared" si="1"/>
        <v>0</v>
      </c>
      <c r="G10" s="35">
        <f t="shared" si="3"/>
        <v>5.2261015768876486</v>
      </c>
      <c r="H10" s="35">
        <f t="shared" si="2"/>
        <v>5.8643820713102599</v>
      </c>
      <c r="I10" s="35">
        <f t="shared" si="4"/>
        <v>0</v>
      </c>
      <c r="J10" s="35">
        <f t="shared" si="5"/>
        <v>0</v>
      </c>
    </row>
    <row r="11" spans="1:20">
      <c r="A11" s="16">
        <v>43922.041666666664</v>
      </c>
      <c r="B11" s="17">
        <v>0</v>
      </c>
      <c r="C11" s="19">
        <v>-1.095107E-7</v>
      </c>
      <c r="D11" s="19">
        <v>2.0875537768006325E-2</v>
      </c>
      <c r="E11">
        <f t="shared" si="0"/>
        <v>49.638688726276165</v>
      </c>
      <c r="F11" s="35">
        <f t="shared" si="1"/>
        <v>0</v>
      </c>
      <c r="G11" s="35">
        <f t="shared" si="3"/>
        <v>5.720246639272391</v>
      </c>
      <c r="H11" s="35">
        <f t="shared" si="2"/>
        <v>6.9713700153444975</v>
      </c>
      <c r="I11" s="35">
        <f t="shared" si="4"/>
        <v>0</v>
      </c>
      <c r="J11" s="35">
        <f t="shared" si="5"/>
        <v>0</v>
      </c>
    </row>
    <row r="12" spans="1:20">
      <c r="A12" s="16">
        <v>43922.083333333336</v>
      </c>
      <c r="B12" s="17">
        <v>0</v>
      </c>
      <c r="C12" s="19">
        <v>-1.095107E-7</v>
      </c>
      <c r="D12" s="19">
        <v>2.052605152130127E-2</v>
      </c>
      <c r="E12">
        <f t="shared" si="0"/>
        <v>48.807666349411015</v>
      </c>
      <c r="F12" s="35">
        <f t="shared" si="1"/>
        <v>0</v>
      </c>
      <c r="G12" s="35">
        <f t="shared" si="3"/>
        <v>5.8921073879401078</v>
      </c>
      <c r="H12" s="35">
        <f t="shared" si="2"/>
        <v>7.6305359386350826</v>
      </c>
      <c r="I12" s="35">
        <f t="shared" si="4"/>
        <v>0</v>
      </c>
      <c r="J12" s="35">
        <f t="shared" si="5"/>
        <v>0</v>
      </c>
    </row>
    <row r="13" spans="1:20">
      <c r="A13" s="16">
        <v>43922.125</v>
      </c>
      <c r="B13" s="17">
        <v>0</v>
      </c>
      <c r="C13" s="19">
        <v>-1.095107E-7</v>
      </c>
      <c r="D13" s="19">
        <v>1.945602148771286E-2</v>
      </c>
      <c r="E13">
        <f t="shared" si="0"/>
        <v>46.263306134343154</v>
      </c>
      <c r="F13" s="35">
        <f t="shared" si="1"/>
        <v>0</v>
      </c>
      <c r="G13" s="35">
        <f t="shared" si="3"/>
        <v>5.7934651149084528</v>
      </c>
      <c r="H13" s="35">
        <f t="shared" si="2"/>
        <v>7.8597899729185681</v>
      </c>
      <c r="I13" s="35">
        <f t="shared" si="4"/>
        <v>0</v>
      </c>
      <c r="J13" s="35">
        <f t="shared" si="5"/>
        <v>0</v>
      </c>
    </row>
    <row r="14" spans="1:20">
      <c r="A14" s="16">
        <v>43922.166666666664</v>
      </c>
      <c r="B14" s="17">
        <v>0</v>
      </c>
      <c r="C14" s="19">
        <v>-1.095107E-7</v>
      </c>
      <c r="D14" s="19">
        <v>1.7904229462146759E-2</v>
      </c>
      <c r="E14">
        <f t="shared" si="0"/>
        <v>42.573392984271052</v>
      </c>
      <c r="F14" s="35">
        <f t="shared" si="1"/>
        <v>0</v>
      </c>
      <c r="G14" s="35">
        <f t="shared" si="3"/>
        <v>5.4914498118159187</v>
      </c>
      <c r="H14" s="35">
        <f t="shared" si="2"/>
        <v>7.7282058897657402</v>
      </c>
      <c r="I14" s="35">
        <f t="shared" si="4"/>
        <v>0</v>
      </c>
      <c r="J14" s="35">
        <f t="shared" si="5"/>
        <v>0</v>
      </c>
    </row>
    <row r="15" spans="1:20">
      <c r="A15" s="16">
        <v>43922.208333333336</v>
      </c>
      <c r="B15" s="17">
        <v>0</v>
      </c>
      <c r="C15" s="19">
        <v>-1.095107E-7</v>
      </c>
      <c r="D15" s="19">
        <v>1.6080575063824654E-2</v>
      </c>
      <c r="E15">
        <f t="shared" si="0"/>
        <v>38.237034609764819</v>
      </c>
      <c r="F15" s="35">
        <f t="shared" si="1"/>
        <v>0</v>
      </c>
      <c r="G15" s="35">
        <f t="shared" si="3"/>
        <v>5.0534574898936757</v>
      </c>
      <c r="H15" s="35">
        <f t="shared" si="2"/>
        <v>7.3253318933118949</v>
      </c>
      <c r="I15" s="35">
        <f t="shared" si="4"/>
        <v>0</v>
      </c>
      <c r="J15" s="35">
        <f t="shared" si="5"/>
        <v>0</v>
      </c>
    </row>
    <row r="16" spans="1:20">
      <c r="A16" s="16">
        <v>43922.25</v>
      </c>
      <c r="B16" s="17">
        <v>0</v>
      </c>
      <c r="C16" s="19">
        <v>-1.095107E-7</v>
      </c>
      <c r="D16" s="19">
        <v>1.415324117988348E-2</v>
      </c>
      <c r="E16">
        <f t="shared" si="0"/>
        <v>33.654143007174135</v>
      </c>
      <c r="F16" s="35">
        <f t="shared" si="1"/>
        <v>0</v>
      </c>
      <c r="G16" s="35">
        <f t="shared" si="3"/>
        <v>4.5387321844756228</v>
      </c>
      <c r="H16" s="35">
        <f t="shared" si="2"/>
        <v>6.7410710451294786</v>
      </c>
      <c r="I16" s="35">
        <f t="shared" si="4"/>
        <v>0</v>
      </c>
      <c r="J16" s="35">
        <f t="shared" si="5"/>
        <v>0</v>
      </c>
    </row>
    <row r="17" spans="1:10">
      <c r="A17" s="16">
        <v>43922.291666666664</v>
      </c>
      <c r="B17" s="17">
        <v>0</v>
      </c>
      <c r="C17" s="21">
        <v>-1.095107E-7</v>
      </c>
      <c r="D17" s="19">
        <v>1.2246618047356606E-2</v>
      </c>
      <c r="E17">
        <f t="shared" si="0"/>
        <v>29.120498257726432</v>
      </c>
      <c r="F17" s="35">
        <f t="shared" si="1"/>
        <v>0</v>
      </c>
      <c r="G17" s="35">
        <f t="shared" si="3"/>
        <v>3.9947434095372691</v>
      </c>
      <c r="H17" s="35">
        <f t="shared" si="2"/>
        <v>6.0544520601101617</v>
      </c>
      <c r="I17" s="35">
        <f t="shared" si="4"/>
        <v>0</v>
      </c>
      <c r="J17" s="35">
        <f t="shared" si="5"/>
        <v>0</v>
      </c>
    </row>
    <row r="18" spans="1:10">
      <c r="A18" s="16">
        <v>43922.333333333336</v>
      </c>
      <c r="B18" s="17">
        <v>0</v>
      </c>
      <c r="C18" s="19">
        <v>-1.095107E-7</v>
      </c>
      <c r="D18" s="19">
        <v>1.0445320047438145E-2</v>
      </c>
      <c r="E18">
        <f t="shared" si="0"/>
        <v>24.837299821600318</v>
      </c>
      <c r="F18" s="35">
        <f t="shared" si="1"/>
        <v>0</v>
      </c>
      <c r="G18" s="35">
        <f t="shared" si="3"/>
        <v>3.4566002311423016</v>
      </c>
      <c r="H18" s="35">
        <f t="shared" si="2"/>
        <v>5.3287970037559527</v>
      </c>
      <c r="I18" s="35">
        <f t="shared" si="4"/>
        <v>0</v>
      </c>
      <c r="J18" s="35">
        <f t="shared" si="5"/>
        <v>0</v>
      </c>
    </row>
    <row r="19" spans="1:10">
      <c r="A19" s="16">
        <v>43922.375</v>
      </c>
      <c r="B19" s="17">
        <v>0</v>
      </c>
      <c r="C19" s="19">
        <v>-1.095107E-7</v>
      </c>
      <c r="D19" s="21">
        <v>8.8009433820843697E-3</v>
      </c>
      <c r="E19">
        <f t="shared" si="0"/>
        <v>20.9272352116555</v>
      </c>
      <c r="F19" s="35">
        <f t="shared" si="1"/>
        <v>0</v>
      </c>
      <c r="G19" s="35">
        <f t="shared" si="3"/>
        <v>2.9481850050939755</v>
      </c>
      <c r="H19" s="35">
        <f t="shared" si="2"/>
        <v>4.6109396941284038</v>
      </c>
      <c r="I19" s="35">
        <f t="shared" si="4"/>
        <v>0</v>
      </c>
      <c r="J19" s="35">
        <f t="shared" si="5"/>
        <v>0</v>
      </c>
    </row>
    <row r="20" spans="1:10">
      <c r="A20" s="16">
        <v>43922.416666666664</v>
      </c>
      <c r="B20" s="17">
        <v>0</v>
      </c>
      <c r="C20" s="19">
        <v>-1.095107E-7</v>
      </c>
      <c r="D20" s="19">
        <v>7.3395175859332085E-3</v>
      </c>
      <c r="E20">
        <f t="shared" si="0"/>
        <v>17.45219849653542</v>
      </c>
      <c r="F20" s="35">
        <f t="shared" si="1"/>
        <v>0</v>
      </c>
      <c r="G20" s="35">
        <f t="shared" si="3"/>
        <v>2.4840607268999868</v>
      </c>
      <c r="H20" s="35">
        <f t="shared" si="2"/>
        <v>3.9327380537521948</v>
      </c>
      <c r="I20" s="35">
        <f t="shared" si="4"/>
        <v>0</v>
      </c>
      <c r="J20" s="35">
        <f t="shared" si="5"/>
        <v>0</v>
      </c>
    </row>
    <row r="21" spans="1:10">
      <c r="A21" s="16">
        <v>43922.458333333336</v>
      </c>
      <c r="B21" s="17">
        <v>0</v>
      </c>
      <c r="C21" s="19">
        <v>-1.095107E-7</v>
      </c>
      <c r="D21" s="19">
        <v>6.0684853233397007E-3</v>
      </c>
      <c r="E21">
        <f t="shared" si="0"/>
        <v>14.429887141250076</v>
      </c>
      <c r="F21" s="35">
        <f t="shared" si="1"/>
        <v>0</v>
      </c>
      <c r="G21" s="35">
        <f t="shared" si="3"/>
        <v>2.0715742163189046</v>
      </c>
      <c r="H21" s="35">
        <f t="shared" si="2"/>
        <v>3.3136184234135322</v>
      </c>
      <c r="I21" s="35">
        <f t="shared" si="4"/>
        <v>0</v>
      </c>
      <c r="J21" s="35">
        <f t="shared" si="5"/>
        <v>0</v>
      </c>
    </row>
    <row r="22" spans="1:10">
      <c r="A22" s="16">
        <v>43922.5</v>
      </c>
      <c r="B22" s="17">
        <v>0</v>
      </c>
      <c r="C22" s="19">
        <v>-1.095107E-7</v>
      </c>
      <c r="D22" s="19">
        <v>4.9826507456600666E-3</v>
      </c>
      <c r="E22">
        <f t="shared" si="0"/>
        <v>11.847946249060334</v>
      </c>
      <c r="F22" s="35">
        <f t="shared" si="1"/>
        <v>0</v>
      </c>
      <c r="G22" s="35">
        <f t="shared" si="3"/>
        <v>1.7128261606776698</v>
      </c>
      <c r="H22" s="35">
        <f t="shared" si="2"/>
        <v>2.7633811099414185</v>
      </c>
      <c r="I22" s="35">
        <f t="shared" si="4"/>
        <v>0</v>
      </c>
      <c r="J22" s="35">
        <f t="shared" si="5"/>
        <v>0</v>
      </c>
    </row>
    <row r="23" spans="1:10">
      <c r="A23" s="16">
        <v>43922.541666666664</v>
      </c>
      <c r="B23" s="17">
        <v>0</v>
      </c>
      <c r="C23" s="19">
        <v>-1.095107E-7</v>
      </c>
      <c r="D23" s="19">
        <v>4.0689208544790745E-3</v>
      </c>
      <c r="E23">
        <f t="shared" si="0"/>
        <v>9.6752427646145236</v>
      </c>
      <c r="F23" s="35">
        <f t="shared" si="1"/>
        <v>0</v>
      </c>
      <c r="G23" s="35">
        <f t="shared" si="3"/>
        <v>1.4063500349688367</v>
      </c>
      <c r="H23" s="35">
        <f t="shared" si="2"/>
        <v>2.2848283299455372</v>
      </c>
      <c r="I23" s="35">
        <f t="shared" si="4"/>
        <v>0</v>
      </c>
      <c r="J23" s="35">
        <f t="shared" si="5"/>
        <v>0</v>
      </c>
    </row>
    <row r="24" spans="1:10">
      <c r="A24" s="16">
        <v>43922.583333333336</v>
      </c>
      <c r="B24" s="17">
        <v>0</v>
      </c>
      <c r="C24" s="19">
        <v>-1.095107E-7</v>
      </c>
      <c r="D24" s="19">
        <v>3.309877822175622E-3</v>
      </c>
      <c r="E24">
        <f t="shared" si="0"/>
        <v>7.8703598806820816</v>
      </c>
      <c r="F24" s="35">
        <f t="shared" si="1"/>
        <v>0</v>
      </c>
      <c r="G24" s="35">
        <f t="shared" si="3"/>
        <v>1.1484503486354674</v>
      </c>
      <c r="H24" s="35">
        <f t="shared" si="2"/>
        <v>1.8760038090762132</v>
      </c>
      <c r="I24" s="35">
        <f t="shared" si="4"/>
        <v>0</v>
      </c>
      <c r="J24" s="35">
        <f t="shared" si="5"/>
        <v>0</v>
      </c>
    </row>
    <row r="25" spans="1:10">
      <c r="A25" s="16">
        <v>43922.625</v>
      </c>
      <c r="B25" s="17">
        <v>0</v>
      </c>
      <c r="C25" s="19">
        <v>-1.095107E-7</v>
      </c>
      <c r="D25" s="19">
        <v>2.6863384991884232E-3</v>
      </c>
      <c r="E25">
        <f t="shared" si="0"/>
        <v>6.3876831369102005</v>
      </c>
      <c r="F25" s="35">
        <f t="shared" si="1"/>
        <v>0</v>
      </c>
      <c r="G25" s="35">
        <f t="shared" si="3"/>
        <v>0.93421093080097495</v>
      </c>
      <c r="H25" s="35">
        <f t="shared" si="2"/>
        <v>1.5319779393490638</v>
      </c>
      <c r="I25" s="35">
        <f t="shared" si="4"/>
        <v>0</v>
      </c>
      <c r="J25" s="35">
        <f t="shared" si="5"/>
        <v>0</v>
      </c>
    </row>
    <row r="26" spans="1:10">
      <c r="A26" s="16">
        <v>43922.666666666664</v>
      </c>
      <c r="B26" s="17">
        <v>0</v>
      </c>
      <c r="C26" s="19">
        <v>-1.095107E-7</v>
      </c>
      <c r="D26" s="19">
        <v>2.1790810860693455E-3</v>
      </c>
      <c r="E26">
        <f t="shared" si="0"/>
        <v>5.1815061696991327</v>
      </c>
      <c r="F26" s="35">
        <f t="shared" si="1"/>
        <v>0</v>
      </c>
      <c r="G26" s="35">
        <f t="shared" si="3"/>
        <v>0.75821734958292708</v>
      </c>
      <c r="H26" s="35">
        <f t="shared" si="2"/>
        <v>1.2461927835072009</v>
      </c>
      <c r="I26" s="35">
        <f t="shared" si="4"/>
        <v>0</v>
      </c>
      <c r="J26" s="35">
        <f t="shared" si="5"/>
        <v>0</v>
      </c>
    </row>
    <row r="27" spans="1:10">
      <c r="A27" s="16">
        <v>43922.708333333336</v>
      </c>
      <c r="B27" s="17">
        <v>0</v>
      </c>
      <c r="C27" s="19">
        <v>-1.095107E-7</v>
      </c>
      <c r="D27" s="19">
        <v>1.7699424643069506E-3</v>
      </c>
      <c r="E27">
        <f t="shared" si="0"/>
        <v>4.2086399893276392</v>
      </c>
      <c r="F27" s="35">
        <f t="shared" si="1"/>
        <v>0</v>
      </c>
      <c r="G27" s="35">
        <f t="shared" si="3"/>
        <v>0.61504426419267011</v>
      </c>
      <c r="H27" s="35">
        <f t="shared" si="2"/>
        <v>1.0114257478983613</v>
      </c>
      <c r="I27" s="35">
        <f t="shared" si="4"/>
        <v>0</v>
      </c>
      <c r="J27" s="35">
        <f t="shared" si="5"/>
        <v>0</v>
      </c>
    </row>
    <row r="28" spans="1:10">
      <c r="A28" s="16">
        <v>43922.75</v>
      </c>
      <c r="B28" s="17">
        <v>0</v>
      </c>
      <c r="C28" s="19">
        <v>-1.095107E-7</v>
      </c>
      <c r="D28" s="19">
        <v>1.4424258843064308E-3</v>
      </c>
      <c r="E28">
        <f t="shared" si="0"/>
        <v>3.4298579647392038</v>
      </c>
      <c r="F28" s="35">
        <f t="shared" si="1"/>
        <v>0</v>
      </c>
      <c r="G28" s="35">
        <f t="shared" si="3"/>
        <v>0.49956514586919182</v>
      </c>
      <c r="H28" s="35">
        <f t="shared" si="2"/>
        <v>0.82043968691016067</v>
      </c>
      <c r="I28" s="35">
        <f t="shared" si="4"/>
        <v>0</v>
      </c>
      <c r="J28" s="35">
        <f t="shared" si="5"/>
        <v>0</v>
      </c>
    </row>
    <row r="29" spans="1:10">
      <c r="A29" s="16">
        <v>43922.791666666664</v>
      </c>
      <c r="B29" s="17">
        <v>0</v>
      </c>
      <c r="C29" s="19">
        <v>-1.095107E-7</v>
      </c>
      <c r="D29" s="19">
        <v>1.1819920036941767E-3</v>
      </c>
      <c r="E29">
        <f t="shared" si="0"/>
        <v>2.8105878660641612</v>
      </c>
      <c r="F29" s="35">
        <f t="shared" si="1"/>
        <v>0</v>
      </c>
      <c r="G29" s="35">
        <f t="shared" si="3"/>
        <v>0.40712379742874699</v>
      </c>
      <c r="H29" s="35">
        <f t="shared" si="2"/>
        <v>0.6663960559101384</v>
      </c>
      <c r="I29" s="35">
        <f t="shared" si="4"/>
        <v>0</v>
      </c>
      <c r="J29" s="35">
        <f t="shared" si="5"/>
        <v>0</v>
      </c>
    </row>
    <row r="30" spans="1:10">
      <c r="A30" s="16">
        <v>43922.833333333336</v>
      </c>
      <c r="B30" s="17">
        <v>0</v>
      </c>
      <c r="C30" s="19">
        <v>-1.095107E-7</v>
      </c>
      <c r="D30" s="19">
        <v>9.761130204424262E-4</v>
      </c>
      <c r="E30">
        <f t="shared" si="0"/>
        <v>2.3210405845288187</v>
      </c>
      <c r="F30" s="35">
        <f t="shared" si="1"/>
        <v>0</v>
      </c>
      <c r="G30" s="35">
        <f t="shared" si="3"/>
        <v>0.33361649864302934</v>
      </c>
      <c r="H30" s="35">
        <f t="shared" si="2"/>
        <v>0.54308371013680556</v>
      </c>
      <c r="I30" s="35">
        <f t="shared" si="4"/>
        <v>0</v>
      </c>
      <c r="J30" s="35">
        <f t="shared" si="5"/>
        <v>0</v>
      </c>
    </row>
    <row r="31" spans="1:10">
      <c r="A31" s="16">
        <v>43922.875</v>
      </c>
      <c r="B31" s="17">
        <v>0</v>
      </c>
      <c r="C31" s="19">
        <v>-1.095107E-7</v>
      </c>
      <c r="D31" s="19">
        <v>8.1419578054919839E-4</v>
      </c>
      <c r="E31">
        <f t="shared" si="0"/>
        <v>1.9360272948211059</v>
      </c>
      <c r="F31" s="35">
        <f t="shared" si="1"/>
        <v>0</v>
      </c>
      <c r="G31" s="35">
        <f t="shared" si="3"/>
        <v>0.27550728527951229</v>
      </c>
      <c r="H31" s="35">
        <f t="shared" si="2"/>
        <v>0.44502848271259932</v>
      </c>
      <c r="I31" s="35">
        <f t="shared" si="4"/>
        <v>0</v>
      </c>
      <c r="J31" s="35">
        <f t="shared" si="5"/>
        <v>0</v>
      </c>
    </row>
    <row r="32" spans="1:10">
      <c r="A32" s="16">
        <v>43922.916666666664</v>
      </c>
      <c r="B32" s="17">
        <v>0</v>
      </c>
      <c r="C32" s="19">
        <v>-1.095107E-7</v>
      </c>
      <c r="D32" s="19">
        <v>6.8741542054340243E-4</v>
      </c>
      <c r="E32">
        <f t="shared" si="0"/>
        <v>1.6345638835849241</v>
      </c>
      <c r="F32" s="35">
        <f t="shared" si="1"/>
        <v>0</v>
      </c>
      <c r="G32" s="35">
        <f t="shared" si="3"/>
        <v>0.22980624629253579</v>
      </c>
      <c r="H32" s="35">
        <f t="shared" si="2"/>
        <v>0.36751356615429315</v>
      </c>
      <c r="I32" s="35">
        <f t="shared" si="4"/>
        <v>0</v>
      </c>
      <c r="J32" s="35">
        <f t="shared" si="5"/>
        <v>0</v>
      </c>
    </row>
    <row r="33" spans="1:10">
      <c r="A33" s="16">
        <v>43922.958333333336</v>
      </c>
      <c r="B33" s="17">
        <v>0</v>
      </c>
      <c r="C33" s="19">
        <v>-1.095107E-7</v>
      </c>
      <c r="D33" s="19">
        <v>5.8851647190749645E-4</v>
      </c>
      <c r="E33">
        <f t="shared" si="0"/>
        <v>1.3993980075605215</v>
      </c>
      <c r="F33" s="35">
        <f t="shared" si="1"/>
        <v>0</v>
      </c>
      <c r="G33" s="35">
        <f t="shared" si="3"/>
        <v>0.19402256952514213</v>
      </c>
      <c r="H33" s="35">
        <f t="shared" si="2"/>
        <v>0.30655056186197394</v>
      </c>
      <c r="I33" s="35">
        <f t="shared" si="4"/>
        <v>0</v>
      </c>
      <c r="J33" s="35">
        <f t="shared" si="5"/>
        <v>0</v>
      </c>
    </row>
    <row r="34" spans="1:10">
      <c r="A34" s="16">
        <v>43923</v>
      </c>
      <c r="B34" s="17">
        <v>0</v>
      </c>
      <c r="C34" s="19">
        <v>-1.095107E-7</v>
      </c>
      <c r="D34" s="19">
        <v>5.1159702707082033E-4</v>
      </c>
      <c r="E34">
        <f t="shared" si="0"/>
        <v>1.2164958748500796</v>
      </c>
      <c r="F34" s="35">
        <f t="shared" si="1"/>
        <v>0</v>
      </c>
      <c r="G34" s="35">
        <f t="shared" si="3"/>
        <v>0.16610840355763315</v>
      </c>
      <c r="H34" s="35">
        <f t="shared" si="2"/>
        <v>0.25881684532683691</v>
      </c>
      <c r="I34" s="35">
        <f t="shared" si="4"/>
        <v>0</v>
      </c>
      <c r="J34" s="35">
        <f t="shared" si="5"/>
        <v>0</v>
      </c>
    </row>
    <row r="35" spans="1:10">
      <c r="A35" s="16">
        <v>43923.041666666664</v>
      </c>
      <c r="B35" s="17">
        <v>2</v>
      </c>
      <c r="C35" s="19">
        <v>0.79753240000000003</v>
      </c>
      <c r="D35" s="19">
        <v>4.5190379023551941E-4</v>
      </c>
      <c r="E35">
        <f t="shared" si="0"/>
        <v>1.0745549085736275</v>
      </c>
      <c r="F35" s="35">
        <f t="shared" si="1"/>
        <v>0</v>
      </c>
      <c r="G35" s="35">
        <f t="shared" si="3"/>
        <v>0.14439793869511697</v>
      </c>
      <c r="H35" s="35">
        <f t="shared" si="2"/>
        <v>0.22158068051713298</v>
      </c>
      <c r="I35" s="35">
        <f t="shared" si="4"/>
        <v>0</v>
      </c>
      <c r="J35" s="35">
        <f t="shared" si="5"/>
        <v>0</v>
      </c>
    </row>
    <row r="36" spans="1:10">
      <c r="A36" s="16">
        <v>43923.083333333336</v>
      </c>
      <c r="B36" s="17">
        <v>0.5</v>
      </c>
      <c r="C36" s="19">
        <v>0.19801669999999999</v>
      </c>
      <c r="D36" s="19">
        <v>4.0563911898061633E-4</v>
      </c>
      <c r="E36">
        <f t="shared" si="0"/>
        <v>0.96454492267686875</v>
      </c>
      <c r="F36" s="35">
        <f t="shared" si="1"/>
        <v>0</v>
      </c>
      <c r="G36" s="35">
        <f t="shared" si="3"/>
        <v>0.12754956019219871</v>
      </c>
      <c r="H36" s="35">
        <f t="shared" si="2"/>
        <v>0.19261995682376162</v>
      </c>
      <c r="I36" s="35">
        <f t="shared" si="4"/>
        <v>0</v>
      </c>
      <c r="J36" s="35">
        <f t="shared" si="5"/>
        <v>0</v>
      </c>
    </row>
    <row r="37" spans="1:10">
      <c r="A37" s="16">
        <v>43923.125</v>
      </c>
      <c r="B37" s="17">
        <v>0.4</v>
      </c>
      <c r="C37" s="19">
        <v>0.15834000000000001</v>
      </c>
      <c r="D37" s="19">
        <v>3.6979245487600565E-4</v>
      </c>
      <c r="E37">
        <f t="shared" si="0"/>
        <v>0.87930729090236137</v>
      </c>
      <c r="F37" s="35">
        <f t="shared" si="1"/>
        <v>0</v>
      </c>
      <c r="G37" s="35">
        <f t="shared" si="3"/>
        <v>0.11449138586725205</v>
      </c>
      <c r="H37" s="35">
        <f t="shared" si="2"/>
        <v>0.17014502422354819</v>
      </c>
      <c r="I37" s="35">
        <f t="shared" si="4"/>
        <v>0</v>
      </c>
      <c r="J37" s="35">
        <f t="shared" si="5"/>
        <v>0</v>
      </c>
    </row>
    <row r="38" spans="1:10">
      <c r="A38" s="16">
        <v>43923.166666666664</v>
      </c>
      <c r="B38" s="17">
        <v>0.6</v>
      </c>
      <c r="C38" s="19">
        <v>0.2377301</v>
      </c>
      <c r="D38" s="19">
        <v>3.4199230140075088E-4</v>
      </c>
      <c r="E38">
        <f t="shared" si="0"/>
        <v>0.81320297396276153</v>
      </c>
      <c r="F38" s="35">
        <f t="shared" si="1"/>
        <v>0</v>
      </c>
      <c r="G38" s="35">
        <f t="shared" si="3"/>
        <v>0.1043736874993812</v>
      </c>
      <c r="H38" s="35">
        <f t="shared" si="2"/>
        <v>0.15272604305665541</v>
      </c>
      <c r="I38" s="35">
        <f t="shared" si="4"/>
        <v>0</v>
      </c>
      <c r="J38" s="35">
        <f t="shared" si="5"/>
        <v>0</v>
      </c>
    </row>
    <row r="39" spans="1:10">
      <c r="A39" s="16">
        <v>43923.208333333336</v>
      </c>
      <c r="B39" s="17">
        <v>0.6</v>
      </c>
      <c r="C39" s="19">
        <v>0.2377301</v>
      </c>
      <c r="D39" s="19">
        <v>3.2038232893683016E-4</v>
      </c>
      <c r="E39">
        <f t="shared" si="0"/>
        <v>0.76181791703915225</v>
      </c>
      <c r="F39" s="35">
        <f t="shared" si="1"/>
        <v>0</v>
      </c>
      <c r="G39" s="35">
        <f t="shared" si="3"/>
        <v>9.6527111689082401E-2</v>
      </c>
      <c r="H39" s="35">
        <f t="shared" si="2"/>
        <v>0.13922951644147991</v>
      </c>
      <c r="I39" s="35">
        <f t="shared" si="4"/>
        <v>0</v>
      </c>
      <c r="J39" s="35">
        <f t="shared" si="5"/>
        <v>0</v>
      </c>
    </row>
    <row r="40" spans="1:10">
      <c r="A40" s="16">
        <v>43923.25</v>
      </c>
      <c r="B40" s="17">
        <v>0.6</v>
      </c>
      <c r="C40" s="19">
        <v>0.2377301</v>
      </c>
      <c r="D40" s="19">
        <v>3.0351692112162709E-4</v>
      </c>
      <c r="E40">
        <f t="shared" si="0"/>
        <v>0.72171467571984982</v>
      </c>
      <c r="F40" s="35">
        <f t="shared" si="1"/>
        <v>0</v>
      </c>
      <c r="G40" s="35">
        <f t="shared" si="3"/>
        <v>9.0427710570755659E-2</v>
      </c>
      <c r="H40" s="35">
        <f t="shared" si="2"/>
        <v>0.12876255889726368</v>
      </c>
      <c r="I40" s="35">
        <f t="shared" si="4"/>
        <v>0</v>
      </c>
      <c r="J40" s="35">
        <f t="shared" si="5"/>
        <v>0</v>
      </c>
    </row>
    <row r="41" spans="1:10">
      <c r="A41" s="16">
        <v>43923.291666666664</v>
      </c>
      <c r="B41" s="17">
        <v>0.2</v>
      </c>
      <c r="C41" s="19">
        <v>7.90965E-2</v>
      </c>
      <c r="D41" s="19">
        <v>2.9027616255916655E-4</v>
      </c>
      <c r="E41">
        <f t="shared" si="0"/>
        <v>0.69023027037968865</v>
      </c>
      <c r="F41" s="35">
        <f t="shared" si="1"/>
        <v>0</v>
      </c>
      <c r="G41" s="35">
        <f t="shared" si="3"/>
        <v>8.5667459836478596E-2</v>
      </c>
      <c r="H41" s="35">
        <f t="shared" si="2"/>
        <v>0.12062624898397938</v>
      </c>
      <c r="I41" s="35">
        <f t="shared" si="4"/>
        <v>0</v>
      </c>
      <c r="J41" s="35">
        <f t="shared" si="5"/>
        <v>0</v>
      </c>
    </row>
    <row r="42" spans="1:10">
      <c r="A42" s="16">
        <v>43923.333333333336</v>
      </c>
      <c r="B42" s="17">
        <v>0.6</v>
      </c>
      <c r="C42" s="19">
        <v>0.2377301</v>
      </c>
      <c r="D42" s="19">
        <v>2.7979619335383177E-4</v>
      </c>
      <c r="E42">
        <f t="shared" si="0"/>
        <v>0.66531058040447533</v>
      </c>
      <c r="F42" s="35">
        <f t="shared" si="1"/>
        <v>0</v>
      </c>
      <c r="G42" s="35">
        <f t="shared" si="3"/>
        <v>8.1930264071042008E-2</v>
      </c>
      <c r="H42" s="35">
        <f t="shared" si="2"/>
        <v>0.11427630175348102</v>
      </c>
      <c r="I42" s="35">
        <f t="shared" si="4"/>
        <v>0</v>
      </c>
      <c r="J42" s="35">
        <f t="shared" si="5"/>
        <v>0</v>
      </c>
    </row>
    <row r="43" spans="1:10">
      <c r="A43" s="16">
        <v>43923.375</v>
      </c>
      <c r="B43" s="17">
        <v>2.6</v>
      </c>
      <c r="C43" s="19">
        <v>1.039609</v>
      </c>
      <c r="D43" s="19">
        <v>2.714135916903615E-4</v>
      </c>
      <c r="E43">
        <f t="shared" si="0"/>
        <v>0.64537809486500919</v>
      </c>
      <c r="F43" s="35">
        <f t="shared" si="1"/>
        <v>0</v>
      </c>
      <c r="G43" s="35">
        <f t="shared" si="3"/>
        <v>7.8972299362953177E-2</v>
      </c>
      <c r="H43" s="35">
        <f t="shared" si="2"/>
        <v>0.1092910610119199</v>
      </c>
      <c r="I43" s="35">
        <f t="shared" si="4"/>
        <v>0</v>
      </c>
      <c r="J43" s="35">
        <f t="shared" si="5"/>
        <v>0</v>
      </c>
    </row>
    <row r="44" spans="1:10">
      <c r="A44" s="16">
        <v>43923.416666666664</v>
      </c>
      <c r="B44" s="17">
        <v>2.8</v>
      </c>
      <c r="C44" s="19">
        <v>1.120587</v>
      </c>
      <c r="D44" s="19">
        <v>2.6462067035026848E-4</v>
      </c>
      <c r="E44">
        <f t="shared" si="0"/>
        <v>0.6292256147856824</v>
      </c>
      <c r="F44" s="35">
        <f t="shared" si="1"/>
        <v>0</v>
      </c>
      <c r="G44" s="35">
        <f t="shared" si="3"/>
        <v>7.6606315322667096E-2</v>
      </c>
      <c r="H44" s="35">
        <f t="shared" si="2"/>
        <v>0.10534527730124463</v>
      </c>
      <c r="I44" s="35">
        <f t="shared" si="4"/>
        <v>0</v>
      </c>
      <c r="J44" s="35">
        <f t="shared" si="5"/>
        <v>0</v>
      </c>
    </row>
    <row r="45" spans="1:10">
      <c r="A45" s="16">
        <v>43923.458333333336</v>
      </c>
      <c r="B45" s="17">
        <v>1.8</v>
      </c>
      <c r="C45" s="19">
        <v>0.71712690000000001</v>
      </c>
      <c r="D45" s="19">
        <v>2.5903040659613907E-4</v>
      </c>
      <c r="E45">
        <f t="shared" si="0"/>
        <v>0.61593286202056341</v>
      </c>
      <c r="F45" s="35">
        <f t="shared" si="1"/>
        <v>0</v>
      </c>
      <c r="G45" s="35">
        <f t="shared" si="3"/>
        <v>7.4689017552499015E-2</v>
      </c>
      <c r="H45" s="35">
        <f t="shared" si="2"/>
        <v>0.10218916754092557</v>
      </c>
      <c r="I45" s="35">
        <f t="shared" si="4"/>
        <v>0</v>
      </c>
      <c r="J45" s="35">
        <f t="shared" si="5"/>
        <v>0</v>
      </c>
    </row>
    <row r="46" spans="1:10">
      <c r="A46" s="16">
        <v>43923.5</v>
      </c>
      <c r="B46" s="17">
        <v>2.2999999999999998</v>
      </c>
      <c r="C46" s="19">
        <v>0.91840980000000005</v>
      </c>
      <c r="D46" s="19">
        <v>2.5434870622120798E-4</v>
      </c>
      <c r="E46">
        <f t="shared" si="0"/>
        <v>0.6048005276010372</v>
      </c>
      <c r="F46" s="35">
        <f t="shared" si="1"/>
        <v>0</v>
      </c>
      <c r="G46" s="35">
        <f t="shared" si="3"/>
        <v>7.3111169128554671E-2</v>
      </c>
      <c r="H46" s="35">
        <f t="shared" si="2"/>
        <v>9.9631583845164962E-2</v>
      </c>
      <c r="I46" s="35">
        <f t="shared" si="4"/>
        <v>0</v>
      </c>
      <c r="J46" s="35">
        <f t="shared" si="5"/>
        <v>0</v>
      </c>
    </row>
    <row r="47" spans="1:10">
      <c r="A47" s="16">
        <v>43923.541666666664</v>
      </c>
      <c r="B47" s="17">
        <v>2.8</v>
      </c>
      <c r="C47" s="19">
        <v>1.120587</v>
      </c>
      <c r="D47" s="19">
        <v>2.5035269209183753E-4</v>
      </c>
      <c r="E47">
        <f t="shared" si="0"/>
        <v>0.59529864536365495</v>
      </c>
      <c r="F47" s="35">
        <f t="shared" si="1"/>
        <v>0</v>
      </c>
      <c r="G47" s="35">
        <f t="shared" si="3"/>
        <v>7.1789762146190358E-2</v>
      </c>
      <c r="H47" s="35">
        <f t="shared" si="2"/>
        <v>9.7526809372336015E-2</v>
      </c>
      <c r="I47" s="35">
        <f t="shared" si="4"/>
        <v>0</v>
      </c>
      <c r="J47" s="35">
        <f t="shared" si="5"/>
        <v>0</v>
      </c>
    </row>
    <row r="48" spans="1:10">
      <c r="A48" s="16">
        <v>43923.583333333336</v>
      </c>
      <c r="B48" s="17">
        <v>0.9</v>
      </c>
      <c r="C48" s="19">
        <v>0.35708899999999999</v>
      </c>
      <c r="D48" s="19">
        <v>2.4687408586032689E-4</v>
      </c>
      <c r="E48">
        <f t="shared" si="0"/>
        <v>0.5870270763221197</v>
      </c>
      <c r="F48" s="35">
        <f t="shared" si="1"/>
        <v>0</v>
      </c>
      <c r="G48" s="35">
        <f t="shared" si="3"/>
        <v>7.0661889674801304E-2</v>
      </c>
      <c r="H48" s="35">
        <f t="shared" si="2"/>
        <v>9.5764115540348235E-2</v>
      </c>
      <c r="I48" s="35">
        <f t="shared" si="4"/>
        <v>0</v>
      </c>
      <c r="J48" s="35">
        <f t="shared" si="5"/>
        <v>0</v>
      </c>
    </row>
    <row r="49" spans="1:10">
      <c r="A49" s="16">
        <v>43923.625</v>
      </c>
      <c r="B49" s="17">
        <v>0.1</v>
      </c>
      <c r="C49" s="19">
        <v>3.9529809999999999E-2</v>
      </c>
      <c r="D49" s="19">
        <v>2.4378603848163038E-4</v>
      </c>
      <c r="E49">
        <f t="shared" si="0"/>
        <v>0.57968419374316005</v>
      </c>
      <c r="F49" s="35">
        <f t="shared" si="1"/>
        <v>0</v>
      </c>
      <c r="G49" s="35">
        <f t="shared" si="3"/>
        <v>6.9680055256727977E-2</v>
      </c>
      <c r="H49" s="35">
        <f t="shared" si="2"/>
        <v>9.4259587506881126E-2</v>
      </c>
      <c r="I49" s="35">
        <f t="shared" si="4"/>
        <v>0</v>
      </c>
      <c r="J49" s="35">
        <f t="shared" si="5"/>
        <v>0</v>
      </c>
    </row>
    <row r="50" spans="1:10">
      <c r="A50" s="16">
        <v>43923.666666666664</v>
      </c>
      <c r="B50" s="17">
        <v>0.6</v>
      </c>
      <c r="C50" s="19">
        <v>0.2377301</v>
      </c>
      <c r="D50" s="19">
        <v>2.4099323491100222E-4</v>
      </c>
      <c r="E50">
        <f t="shared" si="0"/>
        <v>0.57304335370077752</v>
      </c>
      <c r="F50" s="35">
        <f t="shared" si="1"/>
        <v>0</v>
      </c>
      <c r="G50" s="35">
        <f t="shared" si="3"/>
        <v>6.8808455828893722E-2</v>
      </c>
      <c r="H50" s="35">
        <f t="shared" si="2"/>
        <v>9.2949867264844444E-2</v>
      </c>
      <c r="I50" s="35">
        <f t="shared" si="4"/>
        <v>0</v>
      </c>
      <c r="J50" s="35">
        <f t="shared" si="5"/>
        <v>0</v>
      </c>
    </row>
    <row r="51" spans="1:10">
      <c r="A51" s="16">
        <v>43923.708333333336</v>
      </c>
      <c r="B51" s="17">
        <v>0.2</v>
      </c>
      <c r="C51" s="19">
        <v>7.90965E-2</v>
      </c>
      <c r="D51" s="19">
        <v>2.3842421069275588E-4</v>
      </c>
      <c r="E51">
        <f t="shared" si="0"/>
        <v>0.56693462515366266</v>
      </c>
      <c r="F51" s="35">
        <f t="shared" si="1"/>
        <v>0</v>
      </c>
      <c r="G51" s="35">
        <f t="shared" si="3"/>
        <v>6.8020188779946922E-2</v>
      </c>
      <c r="H51" s="35">
        <f t="shared" si="2"/>
        <v>9.1787195237291966E-2</v>
      </c>
      <c r="I51" s="35">
        <f t="shared" si="4"/>
        <v>0</v>
      </c>
      <c r="J51" s="35">
        <f t="shared" si="5"/>
        <v>0</v>
      </c>
    </row>
    <row r="52" spans="1:10">
      <c r="A52" s="16">
        <v>43923.75</v>
      </c>
      <c r="B52" s="17">
        <v>1.1000000000000001</v>
      </c>
      <c r="C52" s="19">
        <v>0.4368438</v>
      </c>
      <c r="D52" s="19">
        <v>2.3602545843459666E-4</v>
      </c>
      <c r="E52">
        <f t="shared" si="0"/>
        <v>0.56123077608412131</v>
      </c>
      <c r="F52" s="35">
        <f t="shared" si="1"/>
        <v>0</v>
      </c>
      <c r="G52" s="35">
        <f t="shared" si="3"/>
        <v>6.7295083312277237E-2</v>
      </c>
      <c r="H52" s="35">
        <f t="shared" si="2"/>
        <v>9.0735684624981119E-2</v>
      </c>
      <c r="I52" s="35">
        <f t="shared" si="4"/>
        <v>0</v>
      </c>
      <c r="J52" s="35">
        <f t="shared" si="5"/>
        <v>0</v>
      </c>
    </row>
    <row r="53" spans="1:10">
      <c r="A53" s="16">
        <v>43923.791666666664</v>
      </c>
      <c r="B53" s="17">
        <v>2.1</v>
      </c>
      <c r="C53" s="19">
        <v>0.83778900000000001</v>
      </c>
      <c r="D53" s="19">
        <v>2.3375704768113792E-4</v>
      </c>
      <c r="E53">
        <f t="shared" si="0"/>
        <v>0.55583685825811702</v>
      </c>
      <c r="F53" s="35">
        <f t="shared" si="1"/>
        <v>0</v>
      </c>
      <c r="G53" s="35">
        <f t="shared" si="3"/>
        <v>6.6618036998107588E-2</v>
      </c>
      <c r="H53" s="35">
        <f t="shared" si="2"/>
        <v>8.9768428546830953E-2</v>
      </c>
      <c r="I53" s="35">
        <f t="shared" si="4"/>
        <v>0</v>
      </c>
      <c r="J53" s="35">
        <f t="shared" si="5"/>
        <v>0</v>
      </c>
    </row>
    <row r="54" spans="1:10">
      <c r="A54" s="16">
        <v>43923.833333333336</v>
      </c>
      <c r="B54" s="17">
        <v>2.9</v>
      </c>
      <c r="C54" s="19">
        <v>1.1611290000000001</v>
      </c>
      <c r="D54" s="19">
        <v>2.3158917610999197E-4</v>
      </c>
      <c r="E54">
        <f t="shared" si="0"/>
        <v>0.55068200652138333</v>
      </c>
      <c r="F54" s="35">
        <f t="shared" si="1"/>
        <v>0</v>
      </c>
      <c r="G54" s="35">
        <f t="shared" si="3"/>
        <v>6.597777949155266E-2</v>
      </c>
      <c r="H54" s="35">
        <f t="shared" si="2"/>
        <v>8.8865281085159772E-2</v>
      </c>
      <c r="I54" s="35">
        <f t="shared" si="4"/>
        <v>0</v>
      </c>
      <c r="J54" s="35">
        <f t="shared" si="5"/>
        <v>0</v>
      </c>
    </row>
    <row r="55" spans="1:10">
      <c r="A55" s="16">
        <v>43923.875</v>
      </c>
      <c r="B55" s="17">
        <v>0.6</v>
      </c>
      <c r="C55" s="19">
        <v>0.2377301</v>
      </c>
      <c r="D55" s="19">
        <v>2.29499681154266E-4</v>
      </c>
      <c r="E55">
        <f t="shared" si="0"/>
        <v>0.54571352183585986</v>
      </c>
      <c r="F55" s="35">
        <f t="shared" si="1"/>
        <v>0</v>
      </c>
      <c r="G55" s="35">
        <f t="shared" si="3"/>
        <v>6.5365899105887554E-2</v>
      </c>
      <c r="H55" s="35">
        <f t="shared" si="2"/>
        <v>8.8011208136590247E-2</v>
      </c>
      <c r="I55" s="35">
        <f t="shared" si="4"/>
        <v>0</v>
      </c>
      <c r="J55" s="35">
        <f t="shared" si="5"/>
        <v>0</v>
      </c>
    </row>
    <row r="56" spans="1:10">
      <c r="A56" s="16">
        <v>43923.916666666664</v>
      </c>
      <c r="B56" s="17">
        <v>0.6</v>
      </c>
      <c r="C56" s="19">
        <v>0.2377301</v>
      </c>
      <c r="D56" s="19">
        <v>2.2747207549400628E-4</v>
      </c>
      <c r="E56">
        <f t="shared" si="0"/>
        <v>0.54089219999266791</v>
      </c>
      <c r="F56" s="35">
        <f t="shared" si="1"/>
        <v>0</v>
      </c>
      <c r="G56" s="35">
        <f t="shared" si="3"/>
        <v>6.4776140470564375E-2</v>
      </c>
      <c r="H56" s="35">
        <f t="shared" si="2"/>
        <v>8.7194988912595847E-2</v>
      </c>
      <c r="I56" s="35">
        <f t="shared" si="4"/>
        <v>0</v>
      </c>
      <c r="J56" s="35">
        <f t="shared" si="5"/>
        <v>0</v>
      </c>
    </row>
    <row r="57" spans="1:10">
      <c r="A57" s="16">
        <v>43923.958333333336</v>
      </c>
      <c r="B57" s="17">
        <v>0.8</v>
      </c>
      <c r="C57" s="19">
        <v>0.3172663</v>
      </c>
      <c r="D57" s="19">
        <v>2.2549412096850574E-4</v>
      </c>
      <c r="E57">
        <f t="shared" si="0"/>
        <v>0.53618894060375177</v>
      </c>
      <c r="F57" s="35">
        <f t="shared" si="1"/>
        <v>0</v>
      </c>
      <c r="G57" s="35">
        <f t="shared" si="3"/>
        <v>6.420385004990968E-2</v>
      </c>
      <c r="H57" s="35">
        <f t="shared" si="2"/>
        <v>8.6408279047490058E-2</v>
      </c>
      <c r="I57" s="35">
        <f t="shared" si="4"/>
        <v>0</v>
      </c>
      <c r="J57" s="35">
        <f t="shared" si="5"/>
        <v>0</v>
      </c>
    </row>
    <row r="58" spans="1:10">
      <c r="A58" s="16">
        <v>43924</v>
      </c>
      <c r="B58" s="17">
        <v>2.4</v>
      </c>
      <c r="C58" s="19">
        <v>0.95877389999999996</v>
      </c>
      <c r="D58" s="19">
        <v>2.2355670807883143E-4</v>
      </c>
      <c r="E58">
        <f t="shared" si="0"/>
        <v>0.53158208273816854</v>
      </c>
      <c r="F58" s="35">
        <f t="shared" si="1"/>
        <v>0</v>
      </c>
      <c r="G58" s="35">
        <f t="shared" si="3"/>
        <v>6.3645573630771279E-2</v>
      </c>
      <c r="H58" s="35">
        <f t="shared" si="2"/>
        <v>8.5644870946839036E-2</v>
      </c>
      <c r="I58" s="35">
        <f t="shared" si="4"/>
        <v>0</v>
      </c>
      <c r="J58" s="35">
        <f t="shared" si="5"/>
        <v>0</v>
      </c>
    </row>
    <row r="59" spans="1:10">
      <c r="A59" s="16">
        <v>43924.041666666664</v>
      </c>
      <c r="B59" s="17">
        <v>2.4</v>
      </c>
      <c r="C59" s="19">
        <v>0.95877389999999996</v>
      </c>
      <c r="D59" s="19">
        <v>2.2165314294397831E-4</v>
      </c>
      <c r="E59">
        <f t="shared" si="0"/>
        <v>0.52705570941790947</v>
      </c>
      <c r="F59" s="35">
        <f t="shared" si="1"/>
        <v>0</v>
      </c>
      <c r="G59" s="35">
        <f t="shared" si="3"/>
        <v>6.3098740062812325E-2</v>
      </c>
      <c r="H59" s="35">
        <f t="shared" si="2"/>
        <v>8.4900156855198056E-2</v>
      </c>
      <c r="I59" s="35">
        <f t="shared" si="4"/>
        <v>0</v>
      </c>
      <c r="J59" s="35">
        <f t="shared" si="5"/>
        <v>0</v>
      </c>
    </row>
    <row r="60" spans="1:10">
      <c r="A60" s="16">
        <v>43924.083333333336</v>
      </c>
      <c r="B60" s="17">
        <v>1.9</v>
      </c>
      <c r="C60" s="19">
        <v>0.75731170000000003</v>
      </c>
      <c r="D60" s="19">
        <v>2.1977836149744689E-4</v>
      </c>
      <c r="E60">
        <f t="shared" si="0"/>
        <v>0.52259777910308913</v>
      </c>
      <c r="F60" s="35">
        <f t="shared" si="1"/>
        <v>0</v>
      </c>
      <c r="G60" s="35">
        <f t="shared" si="3"/>
        <v>6.2561460002334909E-2</v>
      </c>
      <c r="H60" s="35">
        <f t="shared" si="2"/>
        <v>8.4170706980761609E-2</v>
      </c>
      <c r="I60" s="35">
        <f t="shared" si="4"/>
        <v>0</v>
      </c>
      <c r="J60" s="35">
        <f t="shared" si="5"/>
        <v>0</v>
      </c>
    </row>
    <row r="61" spans="1:10">
      <c r="A61" s="16">
        <v>43924.125</v>
      </c>
      <c r="B61" s="17">
        <v>1.6</v>
      </c>
      <c r="C61" s="19">
        <v>0.63686540000000003</v>
      </c>
      <c r="D61" s="19">
        <v>2.1792868210468441E-4</v>
      </c>
      <c r="E61">
        <f t="shared" si="0"/>
        <v>0.51819953745580283</v>
      </c>
      <c r="F61" s="35">
        <f t="shared" si="1"/>
        <v>0</v>
      </c>
      <c r="G61" s="35">
        <f t="shared" si="3"/>
        <v>6.2032304119758769E-2</v>
      </c>
      <c r="H61" s="35">
        <f t="shared" si="2"/>
        <v>8.3454001029231784E-2</v>
      </c>
      <c r="I61" s="35">
        <f t="shared" si="4"/>
        <v>0</v>
      </c>
      <c r="J61" s="35">
        <f t="shared" si="5"/>
        <v>0</v>
      </c>
    </row>
    <row r="62" spans="1:10">
      <c r="A62" s="16">
        <v>43924.166666666664</v>
      </c>
      <c r="B62" s="17">
        <v>1.1000000000000001</v>
      </c>
      <c r="C62" s="19">
        <v>0.4368438</v>
      </c>
      <c r="D62" s="19">
        <v>2.1610133990179747E-4</v>
      </c>
      <c r="E62">
        <f t="shared" si="0"/>
        <v>0.5138544100720901</v>
      </c>
      <c r="F62" s="35">
        <f t="shared" si="1"/>
        <v>0</v>
      </c>
      <c r="G62" s="35">
        <f t="shared" si="3"/>
        <v>6.1510233276050048E-2</v>
      </c>
      <c r="H62" s="35">
        <f t="shared" si="2"/>
        <v>8.2748132343183137E-2</v>
      </c>
      <c r="I62" s="35">
        <f t="shared" si="4"/>
        <v>0</v>
      </c>
      <c r="J62" s="35">
        <f t="shared" si="5"/>
        <v>0</v>
      </c>
    </row>
    <row r="63" spans="1:10">
      <c r="A63" s="16">
        <v>43924.208333333336</v>
      </c>
      <c r="B63" s="17">
        <v>1.2</v>
      </c>
      <c r="C63" s="19">
        <v>0.47677570000000002</v>
      </c>
      <c r="D63" s="19">
        <v>2.1429426851682365E-4</v>
      </c>
      <c r="E63">
        <f t="shared" si="0"/>
        <v>0.50955748345004392</v>
      </c>
      <c r="F63" s="35">
        <f t="shared" si="1"/>
        <v>0</v>
      </c>
      <c r="G63" s="35">
        <f t="shared" si="3"/>
        <v>6.0994467090116085E-2</v>
      </c>
      <c r="H63" s="35">
        <f t="shared" si="2"/>
        <v>8.205171476075182E-2</v>
      </c>
      <c r="I63" s="35">
        <f t="shared" si="4"/>
        <v>0</v>
      </c>
      <c r="J63" s="35">
        <f t="shared" si="5"/>
        <v>0</v>
      </c>
    </row>
    <row r="64" spans="1:10">
      <c r="A64" s="16">
        <v>43924.25</v>
      </c>
      <c r="B64" s="17">
        <v>2.1</v>
      </c>
      <c r="C64" s="19">
        <v>0.83778900000000001</v>
      </c>
      <c r="D64" s="19">
        <v>2.1250591089483351E-4</v>
      </c>
      <c r="E64">
        <f t="shared" si="0"/>
        <v>0.50530505516217095</v>
      </c>
      <c r="F64" s="35">
        <f t="shared" si="1"/>
        <v>0</v>
      </c>
      <c r="G64" s="35">
        <f t="shared" si="3"/>
        <v>6.0484422329771866E-2</v>
      </c>
      <c r="H64" s="35">
        <f t="shared" si="2"/>
        <v>8.1363707290814755E-2</v>
      </c>
      <c r="I64" s="35">
        <f t="shared" si="4"/>
        <v>0</v>
      </c>
      <c r="J64" s="35">
        <f t="shared" si="5"/>
        <v>0</v>
      </c>
    </row>
    <row r="65" spans="1:10">
      <c r="A65" s="16">
        <v>43924.291666666664</v>
      </c>
      <c r="B65" s="17">
        <v>1.5</v>
      </c>
      <c r="C65" s="19">
        <v>0.59678869999999995</v>
      </c>
      <c r="D65" s="19">
        <v>2.1073513198643923E-4</v>
      </c>
      <c r="E65">
        <f t="shared" si="0"/>
        <v>0.50109442624263467</v>
      </c>
      <c r="F65" s="35">
        <f t="shared" si="1"/>
        <v>0</v>
      </c>
      <c r="G65" s="35">
        <f t="shared" si="3"/>
        <v>5.9979659517244176E-2</v>
      </c>
      <c r="H65" s="35">
        <f t="shared" si="2"/>
        <v>8.0683331929479962E-2</v>
      </c>
      <c r="I65" s="35">
        <f t="shared" si="4"/>
        <v>0</v>
      </c>
      <c r="J65" s="35">
        <f t="shared" si="5"/>
        <v>0</v>
      </c>
    </row>
    <row r="66" spans="1:10">
      <c r="A66" s="16">
        <v>43924.333333333336</v>
      </c>
      <c r="B66" s="17">
        <v>0.9</v>
      </c>
      <c r="C66" s="19">
        <v>0.35708899999999999</v>
      </c>
      <c r="D66" s="19">
        <v>2.0898102957289666E-4</v>
      </c>
      <c r="E66">
        <f t="shared" si="0"/>
        <v>0.49692345135961663</v>
      </c>
      <c r="F66" s="35">
        <f t="shared" si="1"/>
        <v>0</v>
      </c>
      <c r="G66" s="35">
        <f t="shared" si="3"/>
        <v>5.9479858285558108E-2</v>
      </c>
      <c r="H66" s="35">
        <f t="shared" si="2"/>
        <v>8.0010002434378155E-2</v>
      </c>
      <c r="I66" s="35">
        <f t="shared" si="4"/>
        <v>0</v>
      </c>
      <c r="J66" s="35">
        <f t="shared" si="5"/>
        <v>0</v>
      </c>
    </row>
    <row r="67" spans="1:10">
      <c r="A67" s="16">
        <v>43924.375</v>
      </c>
      <c r="B67" s="17">
        <v>0.6</v>
      </c>
      <c r="C67" s="19">
        <v>0.2377301</v>
      </c>
      <c r="D67" s="19">
        <v>2.0724293426610529E-4</v>
      </c>
      <c r="E67">
        <f t="shared" si="0"/>
        <v>0.49279053881531587</v>
      </c>
      <c r="F67" s="35">
        <f t="shared" si="1"/>
        <v>0</v>
      </c>
      <c r="G67" s="35">
        <f t="shared" si="3"/>
        <v>5.8984763984041358E-2</v>
      </c>
      <c r="H67" s="35">
        <f t="shared" si="2"/>
        <v>7.9343291451258777E-2</v>
      </c>
      <c r="I67" s="35">
        <f t="shared" si="4"/>
        <v>0</v>
      </c>
      <c r="J67" s="35">
        <f t="shared" si="5"/>
        <v>0</v>
      </c>
    </row>
    <row r="68" spans="1:10">
      <c r="A68" s="16">
        <v>43924.416666666664</v>
      </c>
      <c r="B68" s="17">
        <v>0.4</v>
      </c>
      <c r="C68" s="19">
        <v>0.15834000000000001</v>
      </c>
      <c r="D68" s="19">
        <v>2.0552029309328645E-4</v>
      </c>
      <c r="E68">
        <f t="shared" ref="E68:E131" si="6">D68*2377.84</f>
        <v>0.48869437372894031</v>
      </c>
      <c r="F68" s="35">
        <f t="shared" ref="F68:F131" si="7">0*E68</f>
        <v>0</v>
      </c>
      <c r="G68" s="35">
        <f t="shared" si="3"/>
        <v>5.8494187678324108E-2</v>
      </c>
      <c r="H68" s="35">
        <f t="shared" si="2"/>
        <v>7.8682859288281698E-2</v>
      </c>
      <c r="I68" s="35">
        <f t="shared" si="4"/>
        <v>0</v>
      </c>
      <c r="J68" s="35">
        <f t="shared" si="5"/>
        <v>0</v>
      </c>
    </row>
    <row r="69" spans="1:10">
      <c r="A69" s="16">
        <v>43924.458333333336</v>
      </c>
      <c r="B69" s="17">
        <v>0.7</v>
      </c>
      <c r="C69" s="19">
        <v>0.2774799</v>
      </c>
      <c r="D69" s="19">
        <v>2.0381271315272897E-4</v>
      </c>
      <c r="E69">
        <f t="shared" si="6"/>
        <v>0.48463402184308507</v>
      </c>
      <c r="F69" s="35">
        <f t="shared" si="7"/>
        <v>0</v>
      </c>
      <c r="G69" s="35">
        <f t="shared" ref="G69:G132" si="8">E68*$G$2</f>
        <v>5.8007973292187841E-2</v>
      </c>
      <c r="H69" s="35">
        <f t="shared" si="2"/>
        <v>7.8028453916017121E-2</v>
      </c>
      <c r="I69" s="35">
        <f t="shared" si="4"/>
        <v>0</v>
      </c>
      <c r="J69" s="35">
        <f t="shared" si="5"/>
        <v>0</v>
      </c>
    </row>
    <row r="70" spans="1:10">
      <c r="A70" s="16">
        <v>43924.5</v>
      </c>
      <c r="B70" s="17">
        <v>1.3</v>
      </c>
      <c r="C70" s="19">
        <v>0.51674379999999998</v>
      </c>
      <c r="D70" s="19">
        <v>2.021198597503826E-4</v>
      </c>
      <c r="E70">
        <f t="shared" si="6"/>
        <v>0.48060868730884981</v>
      </c>
      <c r="F70" s="35">
        <f t="shared" si="7"/>
        <v>0</v>
      </c>
      <c r="G70" s="35">
        <f t="shared" si="8"/>
        <v>5.7526009929372013E-2</v>
      </c>
      <c r="H70" s="35">
        <f t="shared" ref="H70:H133" si="9">E68*$H$2</f>
        <v>7.7379867136240413E-2</v>
      </c>
      <c r="I70" s="35">
        <f t="shared" si="4"/>
        <v>0</v>
      </c>
      <c r="J70" s="35">
        <f t="shared" si="5"/>
        <v>0</v>
      </c>
    </row>
    <row r="71" spans="1:10">
      <c r="A71" s="16">
        <v>43924.541666666664</v>
      </c>
      <c r="B71" s="17">
        <v>1.5</v>
      </c>
      <c r="C71" s="19">
        <v>0.59678869999999995</v>
      </c>
      <c r="D71" s="19">
        <v>2.0044147095177323E-4</v>
      </c>
      <c r="E71">
        <f t="shared" si="6"/>
        <v>0.47661774728796447</v>
      </c>
      <c r="F71" s="35">
        <f t="shared" si="7"/>
        <v>0</v>
      </c>
      <c r="G71" s="35">
        <f t="shared" si="8"/>
        <v>5.7048203122691737E-2</v>
      </c>
      <c r="H71" s="35">
        <f t="shared" si="9"/>
        <v>7.6736951018634092E-2</v>
      </c>
      <c r="I71" s="35">
        <f t="shared" ref="I71:I134" si="10">E68*$I$2</f>
        <v>0</v>
      </c>
      <c r="J71" s="35">
        <f t="shared" si="5"/>
        <v>0</v>
      </c>
    </row>
    <row r="72" spans="1:10">
      <c r="A72" s="16">
        <v>43924.583333333336</v>
      </c>
      <c r="B72" s="17">
        <v>0.9</v>
      </c>
      <c r="C72" s="19">
        <v>0.35708899999999999</v>
      </c>
      <c r="D72" s="19">
        <v>1.9877729937434196E-4</v>
      </c>
      <c r="E72">
        <f t="shared" si="6"/>
        <v>0.47266061354428535</v>
      </c>
      <c r="F72" s="35">
        <f t="shared" si="7"/>
        <v>0</v>
      </c>
      <c r="G72" s="35">
        <f t="shared" si="8"/>
        <v>5.6574478941306655E-2</v>
      </c>
      <c r="H72" s="35">
        <f t="shared" si="9"/>
        <v>7.6099579548483287E-2</v>
      </c>
      <c r="I72" s="35">
        <f t="shared" si="10"/>
        <v>0</v>
      </c>
      <c r="J72" s="35">
        <f t="shared" ref="J72:J135" si="11">E68*J$2</f>
        <v>0</v>
      </c>
    </row>
    <row r="73" spans="1:10">
      <c r="A73" s="16">
        <v>43924.625</v>
      </c>
      <c r="B73" s="17">
        <v>0.3</v>
      </c>
      <c r="C73" s="19">
        <v>0.1186999</v>
      </c>
      <c r="D73" s="19">
        <v>1.9712714129127562E-4</v>
      </c>
      <c r="E73">
        <f t="shared" si="6"/>
        <v>0.46873680164804687</v>
      </c>
      <c r="F73" s="35">
        <f t="shared" si="7"/>
        <v>0</v>
      </c>
      <c r="G73" s="35">
        <f t="shared" si="8"/>
        <v>5.6104767561645313E-2</v>
      </c>
      <c r="H73" s="35">
        <f t="shared" si="9"/>
        <v>7.5467654105576293E-2</v>
      </c>
      <c r="I73" s="35">
        <f t="shared" si="10"/>
        <v>0</v>
      </c>
      <c r="J73" s="35">
        <f t="shared" si="11"/>
        <v>0</v>
      </c>
    </row>
    <row r="74" spans="1:10">
      <c r="A74" s="16">
        <v>43924.666666666664</v>
      </c>
      <c r="B74" s="17">
        <v>0</v>
      </c>
      <c r="C74" s="19">
        <v>-1.095107E-7</v>
      </c>
      <c r="D74" s="19">
        <v>1.9549083663150668E-4</v>
      </c>
      <c r="E74">
        <f t="shared" si="6"/>
        <v>0.46484593097586185</v>
      </c>
      <c r="F74" s="35">
        <f t="shared" si="7"/>
        <v>0</v>
      </c>
      <c r="G74" s="35">
        <f t="shared" si="8"/>
        <v>5.5639011481942995E-2</v>
      </c>
      <c r="H74" s="35">
        <f t="shared" si="9"/>
        <v>7.484108154860214E-2</v>
      </c>
      <c r="I74" s="35">
        <f t="shared" si="10"/>
        <v>0</v>
      </c>
      <c r="J74" s="35">
        <f t="shared" si="11"/>
        <v>0</v>
      </c>
    </row>
    <row r="75" spans="1:10">
      <c r="A75" s="16">
        <v>43924.708333333336</v>
      </c>
      <c r="B75" s="17">
        <v>0</v>
      </c>
      <c r="C75" s="19">
        <v>-1.095107E-7</v>
      </c>
      <c r="D75" s="19">
        <v>1.9386821077205241E-4</v>
      </c>
      <c r="E75">
        <f t="shared" si="6"/>
        <v>0.46098758630221714</v>
      </c>
      <c r="F75" s="35">
        <f t="shared" si="7"/>
        <v>0</v>
      </c>
      <c r="G75" s="35">
        <f t="shared" si="8"/>
        <v>5.5177165522241702E-2</v>
      </c>
      <c r="H75" s="35">
        <f t="shared" si="9"/>
        <v>7.4219785172951747E-2</v>
      </c>
      <c r="I75" s="35">
        <f t="shared" si="10"/>
        <v>0</v>
      </c>
      <c r="J75" s="35">
        <f t="shared" si="11"/>
        <v>0</v>
      </c>
    </row>
    <row r="76" spans="1:10">
      <c r="A76" s="16">
        <v>43924.75</v>
      </c>
      <c r="B76" s="17">
        <v>0</v>
      </c>
      <c r="C76" s="19">
        <v>-1.095107E-7</v>
      </c>
      <c r="D76" s="19">
        <v>1.9225914729759097E-4</v>
      </c>
      <c r="E76">
        <f t="shared" si="6"/>
        <v>0.45716149081010377</v>
      </c>
      <c r="F76" s="35">
        <f t="shared" si="7"/>
        <v>0</v>
      </c>
      <c r="G76" s="35">
        <f t="shared" si="8"/>
        <v>5.4719180395314544E-2</v>
      </c>
      <c r="H76" s="35">
        <f t="shared" si="9"/>
        <v>7.3603704710717976E-2</v>
      </c>
      <c r="I76" s="35">
        <f t="shared" si="10"/>
        <v>0</v>
      </c>
      <c r="J76" s="35">
        <f t="shared" si="11"/>
        <v>0</v>
      </c>
    </row>
    <row r="77" spans="1:10">
      <c r="A77" s="16">
        <v>43924.791666666664</v>
      </c>
      <c r="B77" s="17">
        <v>0</v>
      </c>
      <c r="C77" s="19">
        <v>-1.095107E-7</v>
      </c>
      <c r="D77" s="19">
        <v>1.9066348613705486E-4</v>
      </c>
      <c r="E77">
        <f t="shared" si="6"/>
        <v>0.45336726387613457</v>
      </c>
      <c r="F77" s="35">
        <f t="shared" si="7"/>
        <v>0</v>
      </c>
      <c r="G77" s="35">
        <f t="shared" si="8"/>
        <v>5.4265023243010233E-2</v>
      </c>
      <c r="H77" s="35">
        <f t="shared" si="9"/>
        <v>7.2992774415093067E-2</v>
      </c>
      <c r="I77" s="35">
        <f t="shared" si="10"/>
        <v>0</v>
      </c>
      <c r="J77" s="35">
        <f t="shared" si="11"/>
        <v>0</v>
      </c>
    </row>
    <row r="78" spans="1:10">
      <c r="A78" s="16">
        <v>43924.833333333336</v>
      </c>
      <c r="B78" s="17">
        <v>0</v>
      </c>
      <c r="C78" s="19">
        <v>-1.095107E-7</v>
      </c>
      <c r="D78" s="19">
        <v>1.8908111087512225E-4</v>
      </c>
      <c r="E78">
        <f t="shared" si="6"/>
        <v>0.4496046286833007</v>
      </c>
      <c r="F78" s="35">
        <f t="shared" si="7"/>
        <v>0</v>
      </c>
      <c r="G78" s="35">
        <f t="shared" si="8"/>
        <v>5.3814648885370783E-2</v>
      </c>
      <c r="H78" s="35">
        <f t="shared" si="9"/>
        <v>7.238695045487184E-2</v>
      </c>
      <c r="I78" s="35">
        <f t="shared" si="10"/>
        <v>0</v>
      </c>
      <c r="J78" s="35">
        <f t="shared" si="11"/>
        <v>0</v>
      </c>
    </row>
    <row r="79" spans="1:10">
      <c r="A79" s="16">
        <v>43924.875</v>
      </c>
      <c r="B79" s="17">
        <v>0</v>
      </c>
      <c r="C79" s="19">
        <v>-1.095107E-7</v>
      </c>
      <c r="D79" s="19">
        <v>1.8751189054455608E-4</v>
      </c>
      <c r="E79">
        <f t="shared" si="6"/>
        <v>0.44587327381246727</v>
      </c>
      <c r="F79" s="35">
        <f t="shared" si="7"/>
        <v>0</v>
      </c>
      <c r="G79" s="35">
        <f t="shared" si="8"/>
        <v>5.336802446424492E-2</v>
      </c>
      <c r="H79" s="35">
        <f t="shared" si="9"/>
        <v>7.1786172562147157E-2</v>
      </c>
      <c r="I79" s="35">
        <f t="shared" si="10"/>
        <v>0</v>
      </c>
      <c r="J79" s="35">
        <f t="shared" si="11"/>
        <v>0</v>
      </c>
    </row>
    <row r="80" spans="1:10">
      <c r="A80" s="16">
        <v>43924.916666666664</v>
      </c>
      <c r="B80" s="17">
        <v>0</v>
      </c>
      <c r="C80" s="19">
        <v>-1.095107E-7</v>
      </c>
      <c r="D80" s="19">
        <v>1.8595572328194976E-4</v>
      </c>
      <c r="E80">
        <f t="shared" si="6"/>
        <v>0.44217295704875142</v>
      </c>
      <c r="F80" s="35">
        <f t="shared" si="7"/>
        <v>0</v>
      </c>
      <c r="G80" s="35">
        <f t="shared" si="8"/>
        <v>5.2925113014212481E-2</v>
      </c>
      <c r="H80" s="35">
        <f t="shared" si="9"/>
        <v>7.119039690571384E-2</v>
      </c>
      <c r="I80" s="35">
        <f t="shared" si="10"/>
        <v>0</v>
      </c>
      <c r="J80" s="35">
        <f t="shared" si="11"/>
        <v>0</v>
      </c>
    </row>
    <row r="81" spans="1:10">
      <c r="A81" s="16">
        <v>43924.958333333336</v>
      </c>
      <c r="B81" s="17">
        <v>0</v>
      </c>
      <c r="C81" s="19">
        <v>-1.095107E-7</v>
      </c>
      <c r="D81" s="19">
        <v>1.8441247812006623E-4</v>
      </c>
      <c r="E81">
        <f t="shared" si="6"/>
        <v>0.43850336697301828</v>
      </c>
      <c r="F81" s="35">
        <f t="shared" si="7"/>
        <v>0</v>
      </c>
      <c r="G81" s="35">
        <f t="shared" si="8"/>
        <v>5.248588578439109E-2</v>
      </c>
      <c r="H81" s="35">
        <f t="shared" si="9"/>
        <v>7.0599574175466071E-2</v>
      </c>
      <c r="I81" s="35">
        <f t="shared" si="10"/>
        <v>0</v>
      </c>
      <c r="J81" s="35">
        <f t="shared" si="11"/>
        <v>0</v>
      </c>
    </row>
    <row r="82" spans="1:10">
      <c r="A82" s="16">
        <v>43925</v>
      </c>
      <c r="B82" s="17">
        <v>0</v>
      </c>
      <c r="C82" s="19">
        <v>-1.095107E-7</v>
      </c>
      <c r="D82" s="19">
        <v>1.8288205319549888E-4</v>
      </c>
      <c r="E82">
        <f t="shared" si="6"/>
        <v>0.43486426137038509</v>
      </c>
      <c r="F82" s="35">
        <f t="shared" si="7"/>
        <v>0</v>
      </c>
      <c r="G82" s="35">
        <f t="shared" si="8"/>
        <v>5.205030580936057E-2</v>
      </c>
      <c r="H82" s="35">
        <f t="shared" si="9"/>
        <v>7.0013666019099308E-2</v>
      </c>
      <c r="I82" s="35">
        <f t="shared" si="10"/>
        <v>0</v>
      </c>
      <c r="J82" s="35">
        <f t="shared" si="11"/>
        <v>0</v>
      </c>
    </row>
    <row r="83" spans="1:10">
      <c r="A83" s="16">
        <v>43925.041666666664</v>
      </c>
      <c r="B83" s="17">
        <v>0</v>
      </c>
      <c r="C83" s="19">
        <v>-1.095107E-7</v>
      </c>
      <c r="D83" s="19">
        <v>1.8136434664484113E-4</v>
      </c>
      <c r="E83">
        <f t="shared" si="6"/>
        <v>0.43125539802596907</v>
      </c>
      <c r="F83" s="35">
        <f t="shared" si="7"/>
        <v>0</v>
      </c>
      <c r="G83" s="35">
        <f t="shared" si="8"/>
        <v>5.1618344338238573E-2</v>
      </c>
      <c r="H83" s="35">
        <f t="shared" si="9"/>
        <v>6.943262312650772E-2</v>
      </c>
      <c r="I83" s="35">
        <f t="shared" si="10"/>
        <v>0</v>
      </c>
      <c r="J83" s="35">
        <f t="shared" si="11"/>
        <v>0</v>
      </c>
    </row>
    <row r="84" spans="1:10">
      <c r="A84" s="16">
        <v>43925.083333333336</v>
      </c>
      <c r="B84" s="17">
        <v>0.1</v>
      </c>
      <c r="C84" s="19">
        <v>3.9529809999999999E-2</v>
      </c>
      <c r="D84" s="19">
        <v>1.7985922750085592E-4</v>
      </c>
      <c r="E84">
        <f t="shared" si="6"/>
        <v>0.42767646552063526</v>
      </c>
      <c r="F84" s="35">
        <f t="shared" si="7"/>
        <v>0</v>
      </c>
      <c r="G84" s="35">
        <f t="shared" si="8"/>
        <v>5.1189972620142722E-2</v>
      </c>
      <c r="H84" s="35">
        <f t="shared" si="9"/>
        <v>6.885640714538678E-2</v>
      </c>
      <c r="I84" s="35">
        <f t="shared" si="10"/>
        <v>0</v>
      </c>
      <c r="J84" s="35">
        <f t="shared" si="11"/>
        <v>0</v>
      </c>
    </row>
    <row r="85" spans="1:10">
      <c r="A85" s="16">
        <v>43925.125</v>
      </c>
      <c r="B85" s="17">
        <v>0.1</v>
      </c>
      <c r="C85" s="19">
        <v>3.9529809999999999E-2</v>
      </c>
      <c r="D85" s="19">
        <v>1.7836660845205188E-4</v>
      </c>
      <c r="E85">
        <f t="shared" si="6"/>
        <v>0.42412725624162706</v>
      </c>
      <c r="F85" s="35">
        <f t="shared" si="7"/>
        <v>0</v>
      </c>
      <c r="G85" s="35">
        <f t="shared" si="8"/>
        <v>5.0765153689652849E-2</v>
      </c>
      <c r="H85" s="35">
        <f t="shared" si="9"/>
        <v>6.8284979723431949E-2</v>
      </c>
      <c r="I85" s="35">
        <f t="shared" si="10"/>
        <v>0</v>
      </c>
      <c r="J85" s="35">
        <f t="shared" si="11"/>
        <v>0</v>
      </c>
    </row>
    <row r="86" spans="1:10">
      <c r="A86" s="16">
        <v>43925.166666666664</v>
      </c>
      <c r="B86" s="17">
        <v>0</v>
      </c>
      <c r="C86" s="19">
        <v>-1.095107E-7</v>
      </c>
      <c r="D86" s="19">
        <v>1.768863876350224E-4</v>
      </c>
      <c r="E86">
        <f t="shared" si="6"/>
        <v>0.4206075279740617</v>
      </c>
      <c r="F86" s="35">
        <f t="shared" si="7"/>
        <v>0</v>
      </c>
      <c r="G86" s="35">
        <f t="shared" si="8"/>
        <v>5.0343862903155505E-2</v>
      </c>
      <c r="H86" s="35">
        <f t="shared" si="9"/>
        <v>6.7718291550537393E-2</v>
      </c>
      <c r="I86" s="35">
        <f t="shared" si="10"/>
        <v>0</v>
      </c>
      <c r="J86" s="35">
        <f t="shared" si="11"/>
        <v>0</v>
      </c>
    </row>
    <row r="87" spans="1:10">
      <c r="A87" s="16">
        <v>43925.208333333336</v>
      </c>
      <c r="B87" s="17">
        <v>0</v>
      </c>
      <c r="C87" s="19">
        <v>-1.095107E-7</v>
      </c>
      <c r="D87" s="19">
        <v>1.7541843408253044E-4</v>
      </c>
      <c r="E87">
        <f t="shared" si="6"/>
        <v>0.41711696929880421</v>
      </c>
      <c r="F87" s="35">
        <f t="shared" si="7"/>
        <v>0</v>
      </c>
      <c r="G87" s="35">
        <f t="shared" si="8"/>
        <v>4.9926071509768327E-2</v>
      </c>
      <c r="H87" s="35">
        <f t="shared" si="9"/>
        <v>6.7156309753299226E-2</v>
      </c>
      <c r="I87" s="35">
        <f t="shared" si="10"/>
        <v>0</v>
      </c>
      <c r="J87" s="35">
        <f t="shared" si="11"/>
        <v>0</v>
      </c>
    </row>
    <row r="88" spans="1:10">
      <c r="A88" s="16">
        <v>43925.25</v>
      </c>
      <c r="B88" s="17">
        <v>0</v>
      </c>
      <c r="C88" s="19">
        <v>-1.095107E-7</v>
      </c>
      <c r="D88" s="19">
        <v>1.7396268958691508E-4</v>
      </c>
      <c r="E88">
        <f t="shared" si="6"/>
        <v>0.41365544180735014</v>
      </c>
      <c r="F88" s="35">
        <f t="shared" si="7"/>
        <v>0</v>
      </c>
      <c r="G88" s="35">
        <f t="shared" si="8"/>
        <v>4.9511742544071126E-2</v>
      </c>
      <c r="H88" s="35">
        <f t="shared" si="9"/>
        <v>6.6598995979412934E-2</v>
      </c>
      <c r="I88" s="35">
        <f t="shared" si="10"/>
        <v>0</v>
      </c>
      <c r="J88" s="35">
        <f t="shared" si="11"/>
        <v>0</v>
      </c>
    </row>
    <row r="89" spans="1:10">
      <c r="A89" s="16">
        <v>43925.291666666664</v>
      </c>
      <c r="B89" s="17">
        <v>0</v>
      </c>
      <c r="C89" s="19">
        <v>-1.095107E-7</v>
      </c>
      <c r="D89" s="19">
        <v>1.7251900862902403E-4</v>
      </c>
      <c r="E89">
        <f t="shared" si="6"/>
        <v>0.41022259947843853</v>
      </c>
      <c r="F89" s="35">
        <f t="shared" si="7"/>
        <v>0</v>
      </c>
      <c r="G89" s="35">
        <f t="shared" si="8"/>
        <v>4.910085957698828E-2</v>
      </c>
      <c r="H89" s="35">
        <f t="shared" si="9"/>
        <v>6.6046300918772657E-2</v>
      </c>
      <c r="I89" s="35">
        <f t="shared" si="10"/>
        <v>0</v>
      </c>
      <c r="J89" s="35">
        <f t="shared" si="11"/>
        <v>0</v>
      </c>
    </row>
    <row r="90" spans="1:10">
      <c r="A90" s="16">
        <v>43925.333333333336</v>
      </c>
      <c r="B90" s="17">
        <v>0</v>
      </c>
      <c r="C90" s="19">
        <v>-1.095107E-7</v>
      </c>
      <c r="D90" s="19">
        <v>1.7108730389736593E-4</v>
      </c>
      <c r="E90">
        <f t="shared" si="6"/>
        <v>0.40681823469931261</v>
      </c>
      <c r="F90" s="35">
        <f t="shared" si="7"/>
        <v>0</v>
      </c>
      <c r="G90" s="35">
        <f t="shared" si="8"/>
        <v>4.8693381535830707E-2</v>
      </c>
      <c r="H90" s="35">
        <f t="shared" si="9"/>
        <v>6.5498202655775828E-2</v>
      </c>
      <c r="I90" s="35">
        <f t="shared" si="10"/>
        <v>0</v>
      </c>
      <c r="J90" s="35">
        <f t="shared" si="11"/>
        <v>0</v>
      </c>
    </row>
    <row r="91" spans="1:10">
      <c r="A91" s="16">
        <v>43925.375</v>
      </c>
      <c r="B91" s="17">
        <v>0</v>
      </c>
      <c r="C91" s="19">
        <v>-1.095107E-7</v>
      </c>
      <c r="D91" s="19">
        <v>1.696674880804494E-4</v>
      </c>
      <c r="E91">
        <f t="shared" si="6"/>
        <v>0.40344213985721583</v>
      </c>
      <c r="F91" s="35">
        <f t="shared" si="7"/>
        <v>0</v>
      </c>
      <c r="G91" s="35">
        <f t="shared" si="8"/>
        <v>4.8289283776984937E-2</v>
      </c>
      <c r="H91" s="35">
        <f t="shared" si="9"/>
        <v>6.4954646401415961E-2</v>
      </c>
      <c r="I91" s="35">
        <f t="shared" si="10"/>
        <v>0</v>
      </c>
      <c r="J91" s="35">
        <f t="shared" si="11"/>
        <v>0</v>
      </c>
    </row>
    <row r="92" spans="1:10">
      <c r="A92" s="16">
        <v>43925.416666666664</v>
      </c>
      <c r="B92" s="17">
        <v>0</v>
      </c>
      <c r="C92" s="19">
        <v>-1.095107E-7</v>
      </c>
      <c r="D92" s="19">
        <v>1.6825947386678308E-4</v>
      </c>
      <c r="E92">
        <f t="shared" si="6"/>
        <v>0.40009410733939149</v>
      </c>
      <c r="F92" s="35">
        <f t="shared" si="7"/>
        <v>0</v>
      </c>
      <c r="G92" s="35">
        <f t="shared" si="8"/>
        <v>4.7888541656837535E-2</v>
      </c>
      <c r="H92" s="35">
        <f t="shared" si="9"/>
        <v>6.4415599282289168E-2</v>
      </c>
      <c r="I92" s="35">
        <f t="shared" si="10"/>
        <v>0</v>
      </c>
      <c r="J92" s="35">
        <f t="shared" si="11"/>
        <v>0</v>
      </c>
    </row>
    <row r="93" spans="1:10">
      <c r="A93" s="16">
        <v>43925.458333333336</v>
      </c>
      <c r="B93" s="17">
        <v>0</v>
      </c>
      <c r="C93" s="19">
        <v>-1.095107E-7</v>
      </c>
      <c r="D93" s="19">
        <v>1.6686311573721468E-4</v>
      </c>
      <c r="E93">
        <f t="shared" si="6"/>
        <v>0.39677379112457861</v>
      </c>
      <c r="F93" s="35">
        <f t="shared" si="7"/>
        <v>0</v>
      </c>
      <c r="G93" s="35">
        <f t="shared" si="8"/>
        <v>4.7491130531775033E-2</v>
      </c>
      <c r="H93" s="35">
        <f t="shared" si="9"/>
        <v>6.3881028424991562E-2</v>
      </c>
      <c r="I93" s="35">
        <f t="shared" si="10"/>
        <v>0</v>
      </c>
      <c r="J93" s="35">
        <f t="shared" si="11"/>
        <v>0</v>
      </c>
    </row>
    <row r="94" spans="1:10">
      <c r="A94" s="16">
        <v>43925.5</v>
      </c>
      <c r="B94" s="17">
        <v>0</v>
      </c>
      <c r="C94" s="19">
        <v>-1.095107E-7</v>
      </c>
      <c r="D94" s="19">
        <v>1.6547835548408329E-4</v>
      </c>
      <c r="E94">
        <f t="shared" si="6"/>
        <v>0.39348105280427265</v>
      </c>
      <c r="F94" s="35">
        <f t="shared" si="7"/>
        <v>0</v>
      </c>
      <c r="G94" s="35">
        <f t="shared" si="8"/>
        <v>4.7097009329108368E-2</v>
      </c>
      <c r="H94" s="35">
        <f t="shared" si="9"/>
        <v>6.3350900956119255E-2</v>
      </c>
      <c r="I94" s="35">
        <f t="shared" si="10"/>
        <v>0</v>
      </c>
      <c r="J94" s="35">
        <f t="shared" si="11"/>
        <v>0</v>
      </c>
    </row>
    <row r="95" spans="1:10">
      <c r="A95" s="16">
        <v>43925.541666666664</v>
      </c>
      <c r="B95" s="17">
        <v>0</v>
      </c>
      <c r="C95" s="19">
        <v>-1.095107E-7</v>
      </c>
      <c r="D95" s="19">
        <v>1.6410510579589754E-4</v>
      </c>
      <c r="E95">
        <f t="shared" si="6"/>
        <v>0.39021568476571705</v>
      </c>
      <c r="F95" s="35">
        <f t="shared" si="7"/>
        <v>0</v>
      </c>
      <c r="G95" s="35">
        <f t="shared" si="8"/>
        <v>4.6706161619761884E-2</v>
      </c>
      <c r="H95" s="35">
        <f t="shared" si="9"/>
        <v>6.2825162086665776E-2</v>
      </c>
      <c r="I95" s="35">
        <f t="shared" si="10"/>
        <v>0</v>
      </c>
      <c r="J95" s="35">
        <f t="shared" si="11"/>
        <v>0</v>
      </c>
    </row>
    <row r="96" spans="1:10">
      <c r="A96" s="16">
        <v>43925.583333333336</v>
      </c>
      <c r="B96" s="17">
        <v>0</v>
      </c>
      <c r="C96" s="19">
        <v>-1.095107E-7</v>
      </c>
      <c r="D96" s="19">
        <v>1.6274323570542037E-4</v>
      </c>
      <c r="E96">
        <f t="shared" si="6"/>
        <v>0.3869773755897768</v>
      </c>
      <c r="F96" s="35">
        <f t="shared" si="7"/>
        <v>0</v>
      </c>
      <c r="G96" s="35">
        <f t="shared" si="8"/>
        <v>4.6318562760122139E-2</v>
      </c>
      <c r="H96" s="35">
        <f t="shared" si="9"/>
        <v>6.2303789901028535E-2</v>
      </c>
      <c r="I96" s="35">
        <f t="shared" si="10"/>
        <v>0</v>
      </c>
      <c r="J96" s="35">
        <f t="shared" si="11"/>
        <v>0</v>
      </c>
    </row>
    <row r="97" spans="1:10">
      <c r="A97" s="16">
        <v>43925.625</v>
      </c>
      <c r="B97" s="17">
        <v>0</v>
      </c>
      <c r="C97" s="19">
        <v>-1.095107E-7</v>
      </c>
      <c r="D97" s="19">
        <v>1.6139267245307565E-4</v>
      </c>
      <c r="E97">
        <f t="shared" si="6"/>
        <v>0.38376595226582144</v>
      </c>
      <c r="F97" s="35">
        <f t="shared" si="7"/>
        <v>0</v>
      </c>
      <c r="G97" s="35">
        <f t="shared" si="8"/>
        <v>4.5934175784768945E-2</v>
      </c>
      <c r="H97" s="35">
        <f t="shared" si="9"/>
        <v>6.1786751525803645E-2</v>
      </c>
      <c r="I97" s="35">
        <f t="shared" si="10"/>
        <v>0</v>
      </c>
      <c r="J97" s="35">
        <f t="shared" si="11"/>
        <v>0</v>
      </c>
    </row>
    <row r="98" spans="1:10">
      <c r="A98" s="16">
        <v>43925.666666666664</v>
      </c>
      <c r="B98" s="17">
        <v>0</v>
      </c>
      <c r="C98" s="19">
        <v>-1.095107E-7</v>
      </c>
      <c r="D98" s="19">
        <v>1.6005329962354153E-4</v>
      </c>
      <c r="E98">
        <f t="shared" si="6"/>
        <v>0.38058113797684201</v>
      </c>
      <c r="F98" s="35">
        <f t="shared" si="7"/>
        <v>0</v>
      </c>
      <c r="G98" s="35">
        <f t="shared" si="8"/>
        <v>4.5552980157357779E-2</v>
      </c>
      <c r="H98" s="35">
        <f t="shared" si="9"/>
        <v>6.1273997650885259E-2</v>
      </c>
      <c r="I98" s="35">
        <f t="shared" si="10"/>
        <v>0</v>
      </c>
      <c r="J98" s="35">
        <f t="shared" si="11"/>
        <v>0</v>
      </c>
    </row>
    <row r="99" spans="1:10">
      <c r="A99" s="16">
        <v>43925.708333333336</v>
      </c>
      <c r="B99" s="17">
        <v>0</v>
      </c>
      <c r="C99" s="19">
        <v>-1.095107E-7</v>
      </c>
      <c r="D99" s="19">
        <v>1.5872505900915712E-4</v>
      </c>
      <c r="E99">
        <f t="shared" si="6"/>
        <v>0.37742279431433418</v>
      </c>
      <c r="F99" s="35">
        <f t="shared" si="7"/>
        <v>0</v>
      </c>
      <c r="G99" s="35">
        <f t="shared" si="8"/>
        <v>4.5174943019737346E-2</v>
      </c>
      <c r="H99" s="35">
        <f t="shared" si="9"/>
        <v>6.0765500881770171E-2</v>
      </c>
      <c r="I99" s="35">
        <f t="shared" si="10"/>
        <v>0</v>
      </c>
      <c r="J99" s="35">
        <f t="shared" si="11"/>
        <v>0</v>
      </c>
    </row>
    <row r="100" spans="1:10">
      <c r="A100" s="16">
        <v>43925.75</v>
      </c>
      <c r="B100" s="17">
        <v>0</v>
      </c>
      <c r="C100" s="19">
        <v>-1.095107E-7</v>
      </c>
      <c r="D100" s="19">
        <v>1.5740784874651581E-4</v>
      </c>
      <c r="E100">
        <f t="shared" si="6"/>
        <v>0.37429067906341518</v>
      </c>
      <c r="F100" s="35">
        <f t="shared" si="7"/>
        <v>0</v>
      </c>
      <c r="G100" s="35">
        <f t="shared" si="8"/>
        <v>4.4800047942832037E-2</v>
      </c>
      <c r="H100" s="35">
        <f t="shared" si="9"/>
        <v>6.0261217387253166E-2</v>
      </c>
      <c r="I100" s="35">
        <f t="shared" si="10"/>
        <v>0</v>
      </c>
      <c r="J100" s="35">
        <f t="shared" si="11"/>
        <v>0</v>
      </c>
    </row>
    <row r="101" spans="1:10">
      <c r="A101" s="16">
        <v>43925.791666666664</v>
      </c>
      <c r="B101" s="17">
        <v>0</v>
      </c>
      <c r="C101" s="19">
        <v>-1.095107E-7</v>
      </c>
      <c r="D101" s="19">
        <v>1.5610155242029577E-4</v>
      </c>
      <c r="E101">
        <f t="shared" si="6"/>
        <v>0.37118451540707614</v>
      </c>
      <c r="F101" s="35">
        <f t="shared" si="7"/>
        <v>0</v>
      </c>
      <c r="G101" s="35">
        <f t="shared" si="8"/>
        <v>4.4428266175759477E-2</v>
      </c>
      <c r="H101" s="35">
        <f t="shared" si="9"/>
        <v>5.9761125251731675E-2</v>
      </c>
      <c r="I101" s="35">
        <f t="shared" si="10"/>
        <v>0</v>
      </c>
      <c r="J101" s="35">
        <f t="shared" si="11"/>
        <v>0</v>
      </c>
    </row>
    <row r="102" spans="1:10">
      <c r="A102" s="16">
        <v>43925.833333333336</v>
      </c>
      <c r="B102" s="17">
        <v>0</v>
      </c>
      <c r="C102" s="19">
        <v>-1.095107E-7</v>
      </c>
      <c r="D102" s="19">
        <v>1.548061118228361E-4</v>
      </c>
      <c r="E102">
        <f t="shared" si="6"/>
        <v>0.36810416493681264</v>
      </c>
      <c r="F102" s="35">
        <f t="shared" si="7"/>
        <v>0</v>
      </c>
      <c r="G102" s="35">
        <f t="shared" si="8"/>
        <v>4.4059564860368397E-2</v>
      </c>
      <c r="H102" s="35">
        <f t="shared" si="9"/>
        <v>5.9265186122901159E-2</v>
      </c>
      <c r="I102" s="35">
        <f t="shared" si="10"/>
        <v>0</v>
      </c>
      <c r="J102" s="35">
        <f t="shared" si="11"/>
        <v>0</v>
      </c>
    </row>
    <row r="103" spans="1:10">
      <c r="A103" s="16">
        <v>43925.875</v>
      </c>
      <c r="B103" s="17">
        <v>0</v>
      </c>
      <c r="C103" s="19">
        <v>-1.095107E-7</v>
      </c>
      <c r="D103" s="19">
        <v>1.5352141053881496E-4</v>
      </c>
      <c r="E103">
        <f t="shared" si="6"/>
        <v>0.36504935083561579</v>
      </c>
      <c r="F103" s="35">
        <f t="shared" si="7"/>
        <v>0</v>
      </c>
      <c r="G103" s="35">
        <f t="shared" si="8"/>
        <v>4.3693927567583168E-2</v>
      </c>
      <c r="H103" s="35">
        <f t="shared" si="9"/>
        <v>5.8773356169556437E-2</v>
      </c>
      <c r="I103" s="35">
        <f t="shared" si="10"/>
        <v>0</v>
      </c>
      <c r="J103" s="35">
        <f t="shared" si="11"/>
        <v>0</v>
      </c>
    </row>
    <row r="104" spans="1:10">
      <c r="A104" s="16">
        <v>43925.916666666664</v>
      </c>
      <c r="B104" s="17">
        <v>0</v>
      </c>
      <c r="C104" s="19">
        <v>-1.095107E-7</v>
      </c>
      <c r="D104" s="19">
        <v>1.5224737580865622E-4</v>
      </c>
      <c r="E104">
        <f t="shared" si="6"/>
        <v>0.36201990009285512</v>
      </c>
      <c r="F104" s="35">
        <f t="shared" si="7"/>
        <v>0</v>
      </c>
      <c r="G104" s="35">
        <f t="shared" si="8"/>
        <v>4.3331321439252508E-2</v>
      </c>
      <c r="H104" s="35">
        <f t="shared" si="9"/>
        <v>5.8285613476094913E-2</v>
      </c>
      <c r="I104" s="35">
        <f t="shared" si="10"/>
        <v>0</v>
      </c>
      <c r="J104" s="35">
        <f t="shared" si="11"/>
        <v>0</v>
      </c>
    </row>
    <row r="105" spans="1:10">
      <c r="A105" s="16">
        <v>43925.958333333336</v>
      </c>
      <c r="B105" s="17">
        <v>0</v>
      </c>
      <c r="C105" s="19">
        <v>-1.095107E-7</v>
      </c>
      <c r="D105" s="19">
        <v>1.5098390576895326E-4</v>
      </c>
      <c r="E105">
        <f t="shared" si="6"/>
        <v>0.35901557049364785</v>
      </c>
      <c r="F105" s="35">
        <f t="shared" si="7"/>
        <v>0</v>
      </c>
      <c r="G105" s="35">
        <f t="shared" si="8"/>
        <v>4.2971725939031889E-2</v>
      </c>
      <c r="H105" s="35">
        <f t="shared" si="9"/>
        <v>5.7801914211311409E-2</v>
      </c>
      <c r="I105" s="35">
        <f t="shared" si="10"/>
        <v>0</v>
      </c>
      <c r="J105" s="35">
        <f t="shared" si="11"/>
        <v>0</v>
      </c>
    </row>
    <row r="106" spans="1:10">
      <c r="A106" s="16">
        <v>43926</v>
      </c>
      <c r="B106" s="17">
        <v>0</v>
      </c>
      <c r="C106" s="19">
        <v>-1.095107E-7</v>
      </c>
      <c r="D106" s="19">
        <v>1.4973092766012996E-4</v>
      </c>
      <c r="E106">
        <f t="shared" si="6"/>
        <v>0.35603618902736345</v>
      </c>
      <c r="F106" s="35">
        <f t="shared" si="7"/>
        <v>0</v>
      </c>
      <c r="G106" s="35">
        <f t="shared" si="8"/>
        <v>4.2615112316038949E-2</v>
      </c>
      <c r="H106" s="35">
        <f t="shared" si="9"/>
        <v>5.7322230980702681E-2</v>
      </c>
      <c r="I106" s="35">
        <f t="shared" si="10"/>
        <v>0</v>
      </c>
      <c r="J106" s="35">
        <f t="shared" si="11"/>
        <v>0</v>
      </c>
    </row>
    <row r="107" spans="1:10">
      <c r="A107" s="16">
        <v>43926.041666666664</v>
      </c>
      <c r="B107" s="17">
        <v>0</v>
      </c>
      <c r="C107" s="19">
        <v>-1.095107E-7</v>
      </c>
      <c r="D107" s="19">
        <v>1.4848835417069495E-4</v>
      </c>
      <c r="E107">
        <f t="shared" si="6"/>
        <v>0.35308154808124531</v>
      </c>
      <c r="F107" s="35">
        <f t="shared" si="7"/>
        <v>0</v>
      </c>
      <c r="G107" s="35">
        <f t="shared" si="8"/>
        <v>4.2261460033929138E-2</v>
      </c>
      <c r="H107" s="35">
        <f t="shared" si="9"/>
        <v>5.6846525431964202E-2</v>
      </c>
      <c r="I107" s="35">
        <f t="shared" si="10"/>
        <v>0</v>
      </c>
      <c r="J107" s="35">
        <f t="shared" si="11"/>
        <v>0</v>
      </c>
    </row>
    <row r="108" spans="1:10">
      <c r="A108" s="16">
        <v>43926.083333333336</v>
      </c>
      <c r="B108" s="17">
        <v>0</v>
      </c>
      <c r="C108" s="19">
        <v>-1.095107E-7</v>
      </c>
      <c r="D108" s="19">
        <v>1.4725608343724161E-4</v>
      </c>
      <c r="E108">
        <f t="shared" si="6"/>
        <v>0.35015140544041062</v>
      </c>
      <c r="F108" s="35">
        <f t="shared" si="7"/>
        <v>0</v>
      </c>
      <c r="G108" s="35">
        <f t="shared" si="8"/>
        <v>4.1910744449089009E-2</v>
      </c>
      <c r="H108" s="35">
        <f t="shared" si="9"/>
        <v>5.6374770170592732E-2</v>
      </c>
      <c r="I108" s="35">
        <f t="shared" si="10"/>
        <v>0</v>
      </c>
      <c r="J108" s="35">
        <f t="shared" si="11"/>
        <v>0</v>
      </c>
    </row>
    <row r="109" spans="1:10">
      <c r="A109" s="16">
        <v>43926.125</v>
      </c>
      <c r="B109" s="17">
        <v>0</v>
      </c>
      <c r="C109" s="19">
        <v>-1.095107E-7</v>
      </c>
      <c r="D109" s="19">
        <v>1.4603402814827859E-4</v>
      </c>
      <c r="E109">
        <f t="shared" si="6"/>
        <v>0.34724555349210279</v>
      </c>
      <c r="F109" s="35">
        <f t="shared" si="7"/>
        <v>0</v>
      </c>
      <c r="G109" s="35">
        <f t="shared" si="8"/>
        <v>4.1562936810636199E-2</v>
      </c>
      <c r="H109" s="35">
        <f t="shared" si="9"/>
        <v>5.5906932323184388E-2</v>
      </c>
      <c r="I109" s="35">
        <f t="shared" si="10"/>
        <v>0</v>
      </c>
      <c r="J109" s="35">
        <f t="shared" si="11"/>
        <v>0</v>
      </c>
    </row>
    <row r="110" spans="1:10">
      <c r="A110" s="16">
        <v>43926.166666666664</v>
      </c>
      <c r="B110" s="17">
        <v>0.1</v>
      </c>
      <c r="C110" s="19">
        <v>3.9529809999999999E-2</v>
      </c>
      <c r="D110" s="19">
        <v>1.448221446480602E-4</v>
      </c>
      <c r="E110">
        <f t="shared" si="6"/>
        <v>0.34436388842994348</v>
      </c>
      <c r="F110" s="35">
        <f t="shared" si="7"/>
        <v>0</v>
      </c>
      <c r="G110" s="35">
        <f t="shared" si="8"/>
        <v>4.1218012474957252E-2</v>
      </c>
      <c r="H110" s="35">
        <f t="shared" si="9"/>
        <v>5.5442973537434624E-2</v>
      </c>
      <c r="I110" s="35">
        <f t="shared" si="10"/>
        <v>0</v>
      </c>
      <c r="J110" s="35">
        <f t="shared" si="11"/>
        <v>0</v>
      </c>
    </row>
    <row r="111" spans="1:10">
      <c r="A111" s="16">
        <v>43926.208333333336</v>
      </c>
      <c r="B111" s="17">
        <v>0.1</v>
      </c>
      <c r="C111" s="19">
        <v>3.9529809999999999E-2</v>
      </c>
      <c r="D111" s="19">
        <v>1.4362030196934938E-4</v>
      </c>
      <c r="E111">
        <f t="shared" si="6"/>
        <v>0.34150609883479777</v>
      </c>
      <c r="F111" s="35">
        <f t="shared" si="7"/>
        <v>0</v>
      </c>
      <c r="G111" s="35">
        <f t="shared" si="8"/>
        <v>4.0875959120245449E-2</v>
      </c>
      <c r="H111" s="35">
        <f t="shared" si="9"/>
        <v>5.4982860939939558E-2</v>
      </c>
      <c r="I111" s="35">
        <f t="shared" si="10"/>
        <v>0</v>
      </c>
      <c r="J111" s="35">
        <f t="shared" si="11"/>
        <v>0</v>
      </c>
    </row>
    <row r="112" spans="1:10">
      <c r="A112" s="16">
        <v>43926.25</v>
      </c>
      <c r="B112" s="17">
        <v>0.1</v>
      </c>
      <c r="C112" s="19">
        <v>3.9529809999999999E-2</v>
      </c>
      <c r="D112" s="19">
        <v>1.4242842735257E-4</v>
      </c>
      <c r="E112">
        <f t="shared" si="6"/>
        <v>0.33867201169603506</v>
      </c>
      <c r="F112" s="35">
        <f t="shared" si="7"/>
        <v>0</v>
      </c>
      <c r="G112" s="35">
        <f t="shared" si="8"/>
        <v>4.0536739781080612E-2</v>
      </c>
      <c r="H112" s="35">
        <f t="shared" si="9"/>
        <v>5.4526578093997254E-2</v>
      </c>
      <c r="I112" s="35">
        <f t="shared" si="10"/>
        <v>0</v>
      </c>
      <c r="J112" s="35">
        <f t="shared" si="11"/>
        <v>0</v>
      </c>
    </row>
    <row r="113" spans="1:10">
      <c r="A113" s="16">
        <v>43926.291666666664</v>
      </c>
      <c r="B113" s="17">
        <v>0</v>
      </c>
      <c r="C113" s="19">
        <v>-1.095107E-7</v>
      </c>
      <c r="D113" s="19">
        <v>1.412464480381459E-4</v>
      </c>
      <c r="E113">
        <f t="shared" si="6"/>
        <v>0.33586145400302486</v>
      </c>
      <c r="F113" s="35">
        <f t="shared" si="7"/>
        <v>0</v>
      </c>
      <c r="G113" s="35">
        <f t="shared" si="8"/>
        <v>4.0200333921118193E-2</v>
      </c>
      <c r="H113" s="35">
        <f t="shared" si="9"/>
        <v>5.4074075689501878E-2</v>
      </c>
      <c r="I113" s="35">
        <f t="shared" si="10"/>
        <v>0</v>
      </c>
      <c r="J113" s="35">
        <f t="shared" si="11"/>
        <v>0</v>
      </c>
    </row>
    <row r="114" spans="1:10">
      <c r="A114" s="16">
        <v>43926.333333333336</v>
      </c>
      <c r="B114" s="17">
        <v>0.1</v>
      </c>
      <c r="C114" s="19">
        <v>3.9529809999999999E-2</v>
      </c>
      <c r="D114" s="19">
        <v>1.4007427671458572E-4</v>
      </c>
      <c r="E114">
        <f t="shared" si="6"/>
        <v>0.33307421814301053</v>
      </c>
      <c r="F114" s="35">
        <f t="shared" si="7"/>
        <v>0</v>
      </c>
      <c r="G114" s="35">
        <f t="shared" si="8"/>
        <v>3.9866721004013651E-2</v>
      </c>
      <c r="H114" s="35">
        <f t="shared" si="9"/>
        <v>5.362532633195019E-2</v>
      </c>
      <c r="I114" s="35">
        <f t="shared" si="10"/>
        <v>0</v>
      </c>
      <c r="J114" s="35">
        <f t="shared" si="11"/>
        <v>0</v>
      </c>
    </row>
    <row r="115" spans="1:10">
      <c r="A115" s="16">
        <v>43926.375</v>
      </c>
      <c r="B115" s="17">
        <v>0</v>
      </c>
      <c r="C115" s="19">
        <v>-1.095107E-7</v>
      </c>
      <c r="D115" s="19">
        <v>1.3891184062231332E-4</v>
      </c>
      <c r="E115">
        <f t="shared" si="6"/>
        <v>0.3303101311053615</v>
      </c>
      <c r="F115" s="35">
        <f t="shared" si="7"/>
        <v>0</v>
      </c>
      <c r="G115" s="35">
        <f t="shared" si="8"/>
        <v>3.9535876386153537E-2</v>
      </c>
      <c r="H115" s="35">
        <f t="shared" si="9"/>
        <v>5.3180302626838961E-2</v>
      </c>
      <c r="I115" s="35">
        <f t="shared" si="10"/>
        <v>0</v>
      </c>
      <c r="J115" s="35">
        <f t="shared" si="11"/>
        <v>0</v>
      </c>
    </row>
    <row r="116" spans="1:10">
      <c r="A116" s="16">
        <v>43926.416666666664</v>
      </c>
      <c r="B116" s="17">
        <v>0</v>
      </c>
      <c r="C116" s="19">
        <v>-1.095107E-7</v>
      </c>
      <c r="D116" s="19">
        <v>1.377590378979221E-4</v>
      </c>
      <c r="E116">
        <f t="shared" si="6"/>
        <v>0.32756895067519509</v>
      </c>
      <c r="F116" s="35">
        <f t="shared" si="7"/>
        <v>0</v>
      </c>
      <c r="G116" s="35">
        <f t="shared" si="8"/>
        <v>3.9207779531193296E-2</v>
      </c>
      <c r="H116" s="35">
        <f t="shared" si="9"/>
        <v>5.2738971700764289E-2</v>
      </c>
      <c r="I116" s="35">
        <f t="shared" si="10"/>
        <v>0</v>
      </c>
      <c r="J116" s="35">
        <f t="shared" si="11"/>
        <v>0</v>
      </c>
    </row>
    <row r="117" spans="1:10">
      <c r="A117" s="16">
        <v>43926.458333333336</v>
      </c>
      <c r="B117" s="17">
        <v>0</v>
      </c>
      <c r="C117" s="19">
        <v>-1.095107E-7</v>
      </c>
      <c r="D117" s="19">
        <v>1.3661581033375114E-4</v>
      </c>
      <c r="E117">
        <f t="shared" si="6"/>
        <v>0.32485053844400685</v>
      </c>
      <c r="F117" s="35">
        <f t="shared" si="7"/>
        <v>0</v>
      </c>
      <c r="G117" s="35">
        <f t="shared" si="8"/>
        <v>3.8882401688250592E-2</v>
      </c>
      <c r="H117" s="35">
        <f t="shared" si="9"/>
        <v>5.2301306159222946E-2</v>
      </c>
      <c r="I117" s="35">
        <f t="shared" si="10"/>
        <v>0</v>
      </c>
      <c r="J117" s="35">
        <f t="shared" si="11"/>
        <v>0</v>
      </c>
    </row>
    <row r="118" spans="1:10">
      <c r="A118" s="16">
        <v>43926.5</v>
      </c>
      <c r="B118" s="17">
        <v>0</v>
      </c>
      <c r="C118" s="19">
        <v>-1.095107E-7</v>
      </c>
      <c r="D118" s="19">
        <v>1.3548207061830908E-4</v>
      </c>
      <c r="E118">
        <f t="shared" si="6"/>
        <v>0.32215468679904008</v>
      </c>
      <c r="F118" s="35">
        <f t="shared" si="7"/>
        <v>0</v>
      </c>
      <c r="G118" s="35">
        <f t="shared" si="8"/>
        <v>3.8559726428249771E-2</v>
      </c>
      <c r="H118" s="35">
        <f t="shared" si="9"/>
        <v>5.1867267649910391E-2</v>
      </c>
      <c r="I118" s="35">
        <f t="shared" si="10"/>
        <v>0</v>
      </c>
      <c r="J118" s="35">
        <f t="shared" si="11"/>
        <v>0</v>
      </c>
    </row>
    <row r="119" spans="1:10">
      <c r="A119" s="16">
        <v>43926.541666666664</v>
      </c>
      <c r="B119" s="17">
        <v>0</v>
      </c>
      <c r="C119" s="19">
        <v>-1.095107E-7</v>
      </c>
      <c r="D119" s="19">
        <v>1.3435774599201977E-4</v>
      </c>
      <c r="E119">
        <f t="shared" si="6"/>
        <v>0.31948122272966434</v>
      </c>
      <c r="F119" s="35">
        <f t="shared" si="7"/>
        <v>0</v>
      </c>
      <c r="G119" s="35">
        <f t="shared" si="8"/>
        <v>3.8239729107577378E-2</v>
      </c>
      <c r="H119" s="35">
        <f t="shared" si="9"/>
        <v>5.1436834257224048E-2</v>
      </c>
      <c r="I119" s="35">
        <f t="shared" si="10"/>
        <v>0</v>
      </c>
      <c r="J119" s="35">
        <f t="shared" si="11"/>
        <v>0</v>
      </c>
    </row>
    <row r="120" spans="1:10">
      <c r="A120" s="16">
        <v>43926.583333333336</v>
      </c>
      <c r="B120" s="17">
        <v>0</v>
      </c>
      <c r="C120" s="19">
        <v>-1.095107E-7</v>
      </c>
      <c r="D120" s="19">
        <v>1.3324273459147662E-4</v>
      </c>
      <c r="E120">
        <f t="shared" si="6"/>
        <v>0.31682990402099681</v>
      </c>
      <c r="F120" s="35">
        <f t="shared" si="7"/>
        <v>0</v>
      </c>
      <c r="G120" s="35">
        <f t="shared" si="8"/>
        <v>3.7922389189888883E-2</v>
      </c>
      <c r="H120" s="35">
        <f t="shared" si="9"/>
        <v>5.1009973107760009E-2</v>
      </c>
      <c r="I120" s="35">
        <f t="shared" si="10"/>
        <v>0</v>
      </c>
      <c r="J120" s="35">
        <f t="shared" si="11"/>
        <v>0</v>
      </c>
    </row>
    <row r="121" spans="1:10">
      <c r="A121" s="16">
        <v>43926.625</v>
      </c>
      <c r="B121" s="17">
        <v>0</v>
      </c>
      <c r="C121" s="19">
        <v>-1.095107E-7</v>
      </c>
      <c r="D121" s="19">
        <v>1.3213697820901871E-4</v>
      </c>
      <c r="E121">
        <f t="shared" si="6"/>
        <v>0.31420059226453306</v>
      </c>
      <c r="F121" s="35">
        <f t="shared" si="7"/>
        <v>0</v>
      </c>
      <c r="G121" s="35">
        <f t="shared" si="8"/>
        <v>3.7607677924301919E-2</v>
      </c>
      <c r="H121" s="35">
        <f t="shared" si="9"/>
        <v>5.0586656807015053E-2</v>
      </c>
      <c r="I121" s="35">
        <f t="shared" si="10"/>
        <v>0</v>
      </c>
      <c r="J121" s="35">
        <f t="shared" si="11"/>
        <v>0</v>
      </c>
    </row>
    <row r="122" spans="1:10">
      <c r="A122" s="16">
        <v>43926.666666666664</v>
      </c>
      <c r="B122" s="17">
        <v>0</v>
      </c>
      <c r="C122" s="19">
        <v>-1.095107E-7</v>
      </c>
      <c r="D122" s="19">
        <v>1.3104041863698512E-4</v>
      </c>
      <c r="E122">
        <f t="shared" si="6"/>
        <v>0.31159314905176871</v>
      </c>
      <c r="F122" s="35">
        <f t="shared" si="7"/>
        <v>0</v>
      </c>
      <c r="G122" s="35">
        <f t="shared" si="8"/>
        <v>3.729557888174085E-2</v>
      </c>
      <c r="H122" s="35">
        <f t="shared" si="9"/>
        <v>5.0166847002684638E-2</v>
      </c>
      <c r="I122" s="35">
        <f t="shared" si="10"/>
        <v>0</v>
      </c>
      <c r="J122" s="35">
        <f t="shared" si="11"/>
        <v>0</v>
      </c>
    </row>
    <row r="123" spans="1:10">
      <c r="A123" s="16">
        <v>43926.708333333336</v>
      </c>
      <c r="B123" s="17">
        <v>0</v>
      </c>
      <c r="C123" s="19">
        <v>-1.095107E-7</v>
      </c>
      <c r="D123" s="19">
        <v>1.2995293946005404E-4</v>
      </c>
      <c r="E123">
        <f t="shared" si="6"/>
        <v>0.30900729756569489</v>
      </c>
      <c r="F123" s="35">
        <f t="shared" si="7"/>
        <v>0</v>
      </c>
      <c r="G123" s="35">
        <f t="shared" si="8"/>
        <v>3.6986075633130042E-2</v>
      </c>
      <c r="H123" s="35">
        <f t="shared" si="9"/>
        <v>4.9750521779166168E-2</v>
      </c>
      <c r="I123" s="35">
        <f t="shared" si="10"/>
        <v>0</v>
      </c>
      <c r="J123" s="35">
        <f t="shared" si="11"/>
        <v>0</v>
      </c>
    </row>
    <row r="124" spans="1:10">
      <c r="A124" s="16">
        <v>43926.75</v>
      </c>
      <c r="B124" s="17">
        <v>0</v>
      </c>
      <c r="C124" s="19">
        <v>-1.095107E-7</v>
      </c>
      <c r="D124" s="19">
        <v>1.2887449702247977E-4</v>
      </c>
      <c r="E124">
        <f t="shared" si="6"/>
        <v>0.30644293399993333</v>
      </c>
      <c r="F124" s="35">
        <f t="shared" si="7"/>
        <v>0</v>
      </c>
      <c r="G124" s="35">
        <f t="shared" si="8"/>
        <v>3.6679135320318225E-2</v>
      </c>
      <c r="H124" s="35">
        <f t="shared" si="9"/>
        <v>4.9337659220857061E-2</v>
      </c>
      <c r="I124" s="35">
        <f t="shared" si="10"/>
        <v>0</v>
      </c>
      <c r="J124" s="35">
        <f t="shared" si="11"/>
        <v>0</v>
      </c>
    </row>
    <row r="125" spans="1:10">
      <c r="A125" s="16">
        <v>43926.791666666664</v>
      </c>
      <c r="B125" s="17">
        <v>0.1</v>
      </c>
      <c r="C125" s="19">
        <v>3.9529809999999999E-2</v>
      </c>
      <c r="D125" s="19">
        <v>1.2780498946085572E-4</v>
      </c>
      <c r="E125">
        <f t="shared" si="6"/>
        <v>0.30389981613960121</v>
      </c>
      <c r="F125" s="35">
        <f t="shared" si="7"/>
        <v>0</v>
      </c>
      <c r="G125" s="35">
        <f t="shared" si="8"/>
        <v>3.6374745621498686E-2</v>
      </c>
      <c r="H125" s="35">
        <f t="shared" si="9"/>
        <v>4.892821549655213E-2</v>
      </c>
      <c r="I125" s="35">
        <f t="shared" si="10"/>
        <v>0</v>
      </c>
      <c r="J125" s="35">
        <f t="shared" si="11"/>
        <v>0</v>
      </c>
    </row>
    <row r="126" spans="1:10">
      <c r="A126" s="16">
        <v>43926.833333333336</v>
      </c>
      <c r="B126" s="17">
        <v>0.1</v>
      </c>
      <c r="C126" s="19">
        <v>3.9529809999999999E-2</v>
      </c>
      <c r="D126" s="19">
        <v>1.267443731194362E-4</v>
      </c>
      <c r="E126">
        <f t="shared" si="6"/>
        <v>0.3013778401783202</v>
      </c>
      <c r="F126" s="35">
        <f t="shared" si="7"/>
        <v>0</v>
      </c>
      <c r="G126" s="35">
        <f t="shared" si="8"/>
        <v>3.6072877785789048E-2</v>
      </c>
      <c r="H126" s="35">
        <f t="shared" si="9"/>
        <v>4.8522174169549445E-2</v>
      </c>
      <c r="I126" s="35">
        <f t="shared" si="10"/>
        <v>0</v>
      </c>
      <c r="J126" s="35">
        <f t="shared" si="11"/>
        <v>0</v>
      </c>
    </row>
    <row r="127" spans="1:10">
      <c r="A127" s="16">
        <v>43926.875</v>
      </c>
      <c r="B127" s="17">
        <v>0</v>
      </c>
      <c r="C127" s="19">
        <v>-1.095107E-7</v>
      </c>
      <c r="D127" s="19">
        <v>1.2569256068672985E-4</v>
      </c>
      <c r="E127">
        <f t="shared" si="6"/>
        <v>0.29887679850333371</v>
      </c>
      <c r="F127" s="35">
        <f t="shared" si="7"/>
        <v>0</v>
      </c>
      <c r="G127" s="35">
        <f t="shared" si="8"/>
        <v>3.5773519491382591E-2</v>
      </c>
      <c r="H127" s="35">
        <f t="shared" si="9"/>
        <v>4.8119496887544459E-2</v>
      </c>
      <c r="I127" s="35">
        <f t="shared" si="10"/>
        <v>0</v>
      </c>
      <c r="J127" s="35">
        <f t="shared" si="11"/>
        <v>0</v>
      </c>
    </row>
    <row r="128" spans="1:10">
      <c r="A128" s="16">
        <v>43926.916666666664</v>
      </c>
      <c r="B128" s="17">
        <v>0</v>
      </c>
      <c r="C128" s="19">
        <v>-1.095107E-7</v>
      </c>
      <c r="D128" s="19">
        <v>1.2464946485124528E-4</v>
      </c>
      <c r="E128">
        <f t="shared" si="6"/>
        <v>0.29639648350188508</v>
      </c>
      <c r="F128" s="35">
        <f t="shared" si="7"/>
        <v>0</v>
      </c>
      <c r="G128" s="35">
        <f t="shared" si="8"/>
        <v>3.5476646094665859E-2</v>
      </c>
      <c r="H128" s="35">
        <f t="shared" si="9"/>
        <v>4.7720167213835221E-2</v>
      </c>
      <c r="I128" s="35">
        <f t="shared" si="10"/>
        <v>0</v>
      </c>
      <c r="J128" s="35">
        <f t="shared" si="11"/>
        <v>0</v>
      </c>
    </row>
    <row r="129" spans="1:10">
      <c r="A129" s="16">
        <v>43926.958333333336</v>
      </c>
      <c r="B129" s="17">
        <v>0</v>
      </c>
      <c r="C129" s="19">
        <v>-1.095107E-7</v>
      </c>
      <c r="D129" s="19">
        <v>1.236150274053216E-4</v>
      </c>
      <c r="E129">
        <f t="shared" si="6"/>
        <v>0.29393675676546993</v>
      </c>
      <c r="F129" s="35">
        <f t="shared" si="7"/>
        <v>0</v>
      </c>
      <c r="G129" s="35">
        <f t="shared" si="8"/>
        <v>3.5182232952025411E-2</v>
      </c>
      <c r="H129" s="35">
        <f t="shared" si="9"/>
        <v>4.7324152275017864E-2</v>
      </c>
      <c r="I129" s="35">
        <f t="shared" si="10"/>
        <v>0</v>
      </c>
      <c r="J129" s="35">
        <f t="shared" si="11"/>
        <v>0</v>
      </c>
    </row>
    <row r="130" spans="1:10">
      <c r="A130" s="16">
        <v>43927</v>
      </c>
      <c r="B130" s="17">
        <v>0</v>
      </c>
      <c r="C130" s="19">
        <v>-1.095107E-7</v>
      </c>
      <c r="D130" s="19">
        <v>1.2258917558938265E-4</v>
      </c>
      <c r="E130">
        <f t="shared" si="6"/>
        <v>0.29149744528345767</v>
      </c>
      <c r="F130" s="35">
        <f t="shared" si="7"/>
        <v>0</v>
      </c>
      <c r="G130" s="35">
        <f t="shared" si="8"/>
        <v>3.4890263634385604E-2</v>
      </c>
      <c r="H130" s="35">
        <f t="shared" si="9"/>
        <v>4.6931419197688486E-2</v>
      </c>
      <c r="I130" s="35">
        <f t="shared" si="10"/>
        <v>0</v>
      </c>
      <c r="J130" s="35">
        <f t="shared" si="11"/>
        <v>0</v>
      </c>
    </row>
    <row r="131" spans="1:10">
      <c r="A131" s="16">
        <v>43927.041666666664</v>
      </c>
      <c r="B131" s="17">
        <v>0</v>
      </c>
      <c r="C131" s="19">
        <v>-1.095107E-7</v>
      </c>
      <c r="D131" s="19">
        <v>1.2157183664385229E-4</v>
      </c>
      <c r="E131">
        <f t="shared" si="6"/>
        <v>0.28907837604521774</v>
      </c>
      <c r="F131" s="35">
        <f t="shared" si="7"/>
        <v>0</v>
      </c>
      <c r="G131" s="35">
        <f t="shared" si="8"/>
        <v>3.4600717605401898E-2</v>
      </c>
      <c r="H131" s="35">
        <f t="shared" si="9"/>
        <v>4.6541946066244511E-2</v>
      </c>
      <c r="I131" s="35">
        <f t="shared" si="10"/>
        <v>0</v>
      </c>
      <c r="J131" s="35">
        <f t="shared" si="11"/>
        <v>0</v>
      </c>
    </row>
    <row r="132" spans="1:10">
      <c r="A132" s="16">
        <v>43927.083333333336</v>
      </c>
      <c r="B132" s="17">
        <v>0</v>
      </c>
      <c r="C132" s="19">
        <v>-1.095107E-7</v>
      </c>
      <c r="D132" s="19">
        <v>1.2056294508511201E-4</v>
      </c>
      <c r="E132">
        <f t="shared" ref="E132:E153" si="12">D132*2377.84</f>
        <v>0.28667939334118275</v>
      </c>
      <c r="F132" s="35">
        <f t="shared" ref="F132:F153" si="13">0*E132</f>
        <v>0</v>
      </c>
      <c r="G132" s="35">
        <f t="shared" si="8"/>
        <v>3.4313574328729744E-2</v>
      </c>
      <c r="H132" s="35">
        <f t="shared" si="9"/>
        <v>4.615570548618269E-2</v>
      </c>
      <c r="I132" s="35">
        <f t="shared" si="10"/>
        <v>0</v>
      </c>
      <c r="J132" s="35">
        <f t="shared" si="11"/>
        <v>0</v>
      </c>
    </row>
    <row r="133" spans="1:10">
      <c r="A133" s="16">
        <v>43927.125</v>
      </c>
      <c r="B133" s="17">
        <v>0</v>
      </c>
      <c r="C133" s="19">
        <v>-1.095107E-7</v>
      </c>
      <c r="D133" s="19">
        <v>1.1956242087762803E-4</v>
      </c>
      <c r="E133">
        <f t="shared" si="12"/>
        <v>0.28430030685965907</v>
      </c>
      <c r="F133" s="35">
        <f t="shared" si="13"/>
        <v>0</v>
      </c>
      <c r="G133" s="35">
        <f t="shared" ref="G133:G153" si="14">E132*$G$2</f>
        <v>3.4028815321659057E-2</v>
      </c>
      <c r="H133" s="35">
        <f t="shared" si="9"/>
        <v>4.577267006299978E-2</v>
      </c>
      <c r="I133" s="35">
        <f t="shared" si="10"/>
        <v>0</v>
      </c>
      <c r="J133" s="35">
        <f t="shared" si="11"/>
        <v>0</v>
      </c>
    </row>
    <row r="134" spans="1:10">
      <c r="A134" s="16">
        <v>43927.166666666664</v>
      </c>
      <c r="B134" s="17">
        <v>0.1</v>
      </c>
      <c r="C134" s="19">
        <v>3.9529809999999999E-2</v>
      </c>
      <c r="D134" s="19">
        <v>1.1857019853778183E-4</v>
      </c>
      <c r="E134">
        <f t="shared" si="12"/>
        <v>0.28194096089107917</v>
      </c>
      <c r="F134" s="35">
        <f t="shared" si="13"/>
        <v>0</v>
      </c>
      <c r="G134" s="35">
        <f t="shared" si="14"/>
        <v>3.3746417994210846E-2</v>
      </c>
      <c r="H134" s="35">
        <f t="shared" ref="H134:H153" si="15">E132*$H$2</f>
        <v>4.5392815141642881E-2</v>
      </c>
      <c r="I134" s="35">
        <f t="shared" si="10"/>
        <v>0</v>
      </c>
      <c r="J134" s="35">
        <f t="shared" si="11"/>
        <v>0</v>
      </c>
    </row>
    <row r="135" spans="1:10">
      <c r="A135" s="16">
        <v>43927.208333333336</v>
      </c>
      <c r="B135" s="17">
        <v>0</v>
      </c>
      <c r="C135" s="19">
        <v>-1.095107E-7</v>
      </c>
      <c r="D135" s="19">
        <v>1.1758621985791251E-4</v>
      </c>
      <c r="E135">
        <f t="shared" si="12"/>
        <v>0.27960121702693869</v>
      </c>
      <c r="F135" s="35">
        <f t="shared" si="13"/>
        <v>0</v>
      </c>
      <c r="G135" s="35">
        <f t="shared" si="14"/>
        <v>3.3466363863675005E-2</v>
      </c>
      <c r="H135" s="35">
        <f t="shared" si="15"/>
        <v>4.5016110588158423E-2</v>
      </c>
      <c r="I135" s="35">
        <f t="shared" ref="I135:I153" si="16">E132*$I$2</f>
        <v>0</v>
      </c>
      <c r="J135" s="35">
        <f t="shared" si="11"/>
        <v>0</v>
      </c>
    </row>
    <row r="136" spans="1:10">
      <c r="A136" s="16">
        <v>43927.25</v>
      </c>
      <c r="B136" s="17">
        <v>0</v>
      </c>
      <c r="C136" s="19">
        <v>-1.095107E-7</v>
      </c>
      <c r="D136" s="19">
        <v>1.1661039025057107E-4</v>
      </c>
      <c r="E136">
        <f t="shared" si="12"/>
        <v>0.27728085035341793</v>
      </c>
      <c r="F136" s="35">
        <f t="shared" si="13"/>
        <v>0</v>
      </c>
      <c r="G136" s="35">
        <f t="shared" si="14"/>
        <v>3.3188636500975921E-2</v>
      </c>
      <c r="H136" s="35">
        <f t="shared" si="15"/>
        <v>4.4642531747493476E-2</v>
      </c>
      <c r="I136" s="35">
        <f t="shared" si="16"/>
        <v>0</v>
      </c>
      <c r="J136" s="35">
        <f t="shared" ref="J136:J153" si="17">E132*J$2</f>
        <v>0</v>
      </c>
    </row>
    <row r="137" spans="1:10">
      <c r="A137" s="16">
        <v>43927.291666666664</v>
      </c>
      <c r="B137" s="17">
        <v>0</v>
      </c>
      <c r="C137" s="19">
        <v>-1.095107E-7</v>
      </c>
      <c r="D137" s="19">
        <v>1.1564268061192706E-4</v>
      </c>
      <c r="E137">
        <f t="shared" si="12"/>
        <v>0.27497979166626468</v>
      </c>
      <c r="F137" s="35">
        <f t="shared" si="13"/>
        <v>0</v>
      </c>
      <c r="G137" s="35">
        <f t="shared" si="14"/>
        <v>3.2913209208865674E-2</v>
      </c>
      <c r="H137" s="35">
        <f t="shared" si="15"/>
        <v>4.4272056704045472E-2</v>
      </c>
      <c r="I137" s="35">
        <f t="shared" si="16"/>
        <v>0</v>
      </c>
      <c r="J137" s="35">
        <f t="shared" si="17"/>
        <v>0</v>
      </c>
    </row>
    <row r="138" spans="1:10">
      <c r="A138" s="16">
        <v>43927.333333333336</v>
      </c>
      <c r="B138" s="17">
        <v>0.1</v>
      </c>
      <c r="C138" s="19">
        <v>3.9529809999999999E-2</v>
      </c>
      <c r="D138" s="19">
        <v>1.1468298180261627E-4</v>
      </c>
      <c r="E138">
        <f t="shared" si="12"/>
        <v>0.27269778144953311</v>
      </c>
      <c r="F138" s="35">
        <f t="shared" si="13"/>
        <v>0</v>
      </c>
      <c r="G138" s="35">
        <f t="shared" si="14"/>
        <v>3.2640073772806449E-2</v>
      </c>
      <c r="H138" s="35">
        <f t="shared" si="15"/>
        <v>4.3904649844960196E-2</v>
      </c>
      <c r="I138" s="35">
        <f t="shared" si="16"/>
        <v>0</v>
      </c>
      <c r="J138" s="35">
        <f t="shared" si="17"/>
        <v>0</v>
      </c>
    </row>
    <row r="139" spans="1:10">
      <c r="A139" s="16">
        <v>43927.375</v>
      </c>
      <c r="B139" s="17">
        <v>0.1</v>
      </c>
      <c r="C139" s="19">
        <v>3.9529809999999999E-2</v>
      </c>
      <c r="D139" s="19">
        <v>1.1373125744285062E-4</v>
      </c>
      <c r="E139">
        <f t="shared" si="12"/>
        <v>0.27043473319790795</v>
      </c>
      <c r="F139" s="35">
        <f t="shared" si="13"/>
        <v>0</v>
      </c>
      <c r="G139" s="35">
        <f t="shared" si="14"/>
        <v>3.2369199388281436E-2</v>
      </c>
      <c r="H139" s="35">
        <f t="shared" si="15"/>
        <v>4.354030021243635E-2</v>
      </c>
      <c r="I139" s="35">
        <f t="shared" si="16"/>
        <v>0</v>
      </c>
      <c r="J139" s="35">
        <f t="shared" si="17"/>
        <v>0</v>
      </c>
    </row>
    <row r="140" spans="1:10">
      <c r="A140" s="16">
        <v>43927.416666666664</v>
      </c>
      <c r="B140" s="17">
        <v>0.1</v>
      </c>
      <c r="C140" s="19">
        <v>3.9529809999999999E-2</v>
      </c>
      <c r="D140" s="19">
        <v>1.1278743477305397E-4</v>
      </c>
      <c r="E140">
        <f t="shared" si="12"/>
        <v>0.26819047390075867</v>
      </c>
      <c r="F140" s="35">
        <f t="shared" si="13"/>
        <v>0</v>
      </c>
      <c r="G140" s="35">
        <f t="shared" si="14"/>
        <v>3.2100575787118356E-2</v>
      </c>
      <c r="H140" s="35">
        <f t="shared" si="15"/>
        <v>4.3178966714719075E-2</v>
      </c>
      <c r="I140" s="35">
        <f t="shared" si="16"/>
        <v>0</v>
      </c>
      <c r="J140" s="35">
        <f t="shared" si="17"/>
        <v>0</v>
      </c>
    </row>
    <row r="141" spans="1:10">
      <c r="A141" s="16">
        <v>43927.458333333336</v>
      </c>
      <c r="B141" s="17">
        <v>0</v>
      </c>
      <c r="C141" s="19">
        <v>-1.095107E-7</v>
      </c>
      <c r="D141" s="19">
        <v>1.1185143375769258E-4</v>
      </c>
      <c r="E141">
        <f t="shared" si="12"/>
        <v>0.26596481324639171</v>
      </c>
      <c r="F141" s="35">
        <f t="shared" si="13"/>
        <v>0</v>
      </c>
      <c r="G141" s="35">
        <f t="shared" si="14"/>
        <v>3.1834182432972667E-2</v>
      </c>
      <c r="H141" s="35">
        <f t="shared" si="15"/>
        <v>4.2820635654556745E-2</v>
      </c>
      <c r="I141" s="35">
        <f t="shared" si="16"/>
        <v>0</v>
      </c>
      <c r="J141" s="35">
        <f t="shared" si="17"/>
        <v>0</v>
      </c>
    </row>
    <row r="142" spans="1:10">
      <c r="A142" s="16">
        <v>43927.5</v>
      </c>
      <c r="B142" s="17">
        <v>0</v>
      </c>
      <c r="C142" s="19">
        <v>-1.095107E-7</v>
      </c>
      <c r="D142" s="19">
        <v>1.1092321074102074E-4</v>
      </c>
      <c r="E142">
        <f t="shared" si="12"/>
        <v>0.26375764742842878</v>
      </c>
      <c r="F142" s="35">
        <f t="shared" si="13"/>
        <v>0</v>
      </c>
      <c r="G142" s="35">
        <f t="shared" si="14"/>
        <v>3.1569996735865372E-2</v>
      </c>
      <c r="H142" s="35">
        <f t="shared" si="15"/>
        <v>4.2465279637446132E-2</v>
      </c>
      <c r="I142" s="35">
        <f t="shared" si="16"/>
        <v>0</v>
      </c>
      <c r="J142" s="35">
        <f t="shared" si="17"/>
        <v>0</v>
      </c>
    </row>
    <row r="143" spans="1:10">
      <c r="A143" s="16">
        <v>43927.541666666664</v>
      </c>
      <c r="B143" s="17">
        <v>0</v>
      </c>
      <c r="C143" s="19">
        <v>-1.095107E-7</v>
      </c>
      <c r="D143" s="19">
        <v>1.1000268568750471E-4</v>
      </c>
      <c r="E143">
        <f t="shared" si="12"/>
        <v>0.2615687861351762</v>
      </c>
      <c r="F143" s="35">
        <f t="shared" si="13"/>
        <v>0</v>
      </c>
      <c r="G143" s="35">
        <f t="shared" si="14"/>
        <v>3.1308006373989755E-2</v>
      </c>
      <c r="H143" s="35">
        <f t="shared" si="15"/>
        <v>4.2112868529433668E-2</v>
      </c>
      <c r="I143" s="35">
        <f t="shared" si="16"/>
        <v>0</v>
      </c>
      <c r="J143" s="35">
        <f t="shared" si="17"/>
        <v>0</v>
      </c>
    </row>
    <row r="144" spans="1:10">
      <c r="A144" s="16">
        <v>43927.583333333336</v>
      </c>
      <c r="B144" s="17">
        <v>0.1</v>
      </c>
      <c r="C144" s="19">
        <v>3.9529809999999999E-2</v>
      </c>
      <c r="D144" s="19">
        <v>1.0908980038948357E-4</v>
      </c>
      <c r="E144">
        <f t="shared" si="12"/>
        <v>0.25939809095812966</v>
      </c>
      <c r="F144" s="35">
        <f t="shared" si="13"/>
        <v>0</v>
      </c>
      <c r="G144" s="35">
        <f t="shared" si="14"/>
        <v>3.1048188757366802E-2</v>
      </c>
      <c r="H144" s="35">
        <f t="shared" si="15"/>
        <v>4.1763385893817416E-2</v>
      </c>
      <c r="I144" s="35">
        <f t="shared" si="16"/>
        <v>0</v>
      </c>
      <c r="J144" s="35">
        <f t="shared" si="17"/>
        <v>0</v>
      </c>
    </row>
    <row r="145" spans="1:10">
      <c r="A145" s="16">
        <v>43927.625</v>
      </c>
      <c r="B145" s="17">
        <v>0</v>
      </c>
      <c r="C145" s="19">
        <v>-1.095107E-7</v>
      </c>
      <c r="D145" s="19">
        <v>1.081844893633388E-4</v>
      </c>
      <c r="E145">
        <f t="shared" si="12"/>
        <v>0.25724540618772157</v>
      </c>
      <c r="F145" s="35">
        <f t="shared" si="13"/>
        <v>0</v>
      </c>
      <c r="G145" s="35">
        <f t="shared" si="14"/>
        <v>3.0790527456920895E-2</v>
      </c>
      <c r="H145" s="35">
        <f t="shared" si="15"/>
        <v>4.14168015966438E-2</v>
      </c>
      <c r="I145" s="35">
        <f t="shared" si="16"/>
        <v>0</v>
      </c>
      <c r="J145" s="35">
        <f t="shared" si="17"/>
        <v>0</v>
      </c>
    </row>
    <row r="146" spans="1:10">
      <c r="A146" s="16">
        <v>43927.666666666664</v>
      </c>
      <c r="B146" s="17">
        <v>0</v>
      </c>
      <c r="C146" s="19">
        <v>-1.095107E-7</v>
      </c>
      <c r="D146" s="19">
        <v>1.0728669440140948E-4</v>
      </c>
      <c r="E146">
        <f t="shared" si="12"/>
        <v>0.25511059341544751</v>
      </c>
      <c r="F146" s="35">
        <f t="shared" si="13"/>
        <v>0</v>
      </c>
      <c r="G146" s="35">
        <f t="shared" si="14"/>
        <v>3.0535003989941932E-2</v>
      </c>
      <c r="H146" s="35">
        <f t="shared" si="15"/>
        <v>4.1073093722310251E-2</v>
      </c>
      <c r="I146" s="35">
        <f t="shared" si="16"/>
        <v>0</v>
      </c>
      <c r="J146" s="35">
        <f t="shared" si="17"/>
        <v>0</v>
      </c>
    </row>
    <row r="147" spans="1:10">
      <c r="A147" s="16">
        <v>43927.708333333336</v>
      </c>
      <c r="B147" s="17">
        <v>0.1</v>
      </c>
      <c r="C147" s="19">
        <v>3.9529809999999999E-2</v>
      </c>
      <c r="D147" s="19">
        <v>1.0639635002007708E-4</v>
      </c>
      <c r="E147">
        <f t="shared" si="12"/>
        <v>0.25299349693174011</v>
      </c>
      <c r="F147" s="35">
        <f t="shared" si="13"/>
        <v>0</v>
      </c>
      <c r="G147" s="35">
        <f t="shared" si="14"/>
        <v>3.0281601927354278E-2</v>
      </c>
      <c r="H147" s="35">
        <f t="shared" si="15"/>
        <v>4.0732237615763833E-2</v>
      </c>
      <c r="I147" s="35">
        <f t="shared" si="16"/>
        <v>0</v>
      </c>
      <c r="J147" s="35">
        <f t="shared" si="17"/>
        <v>0</v>
      </c>
    </row>
    <row r="148" spans="1:10">
      <c r="A148" s="16"/>
      <c r="C148" s="19">
        <v>0</v>
      </c>
      <c r="D148" s="19">
        <v>1.0551339073572308E-4</v>
      </c>
      <c r="E148">
        <f t="shared" si="12"/>
        <v>0.25089396102703176</v>
      </c>
      <c r="F148" s="35">
        <f t="shared" si="13"/>
        <v>0</v>
      </c>
      <c r="G148" s="35">
        <f t="shared" si="14"/>
        <v>3.0030302786447857E-2</v>
      </c>
      <c r="H148" s="35">
        <f t="shared" si="15"/>
        <v>4.0394211361401963E-2</v>
      </c>
      <c r="I148" s="35">
        <f t="shared" si="16"/>
        <v>0</v>
      </c>
      <c r="J148" s="35">
        <f t="shared" si="17"/>
        <v>0</v>
      </c>
    </row>
    <row r="149" spans="1:10">
      <c r="A149" s="16"/>
      <c r="D149" s="19">
        <v>1.0463775834068656E-4</v>
      </c>
      <c r="E149">
        <f t="shared" si="12"/>
        <v>0.24881184729281813</v>
      </c>
      <c r="F149" s="35">
        <f t="shared" si="13"/>
        <v>0</v>
      </c>
      <c r="G149" s="35">
        <f t="shared" si="14"/>
        <v>2.9781088084512568E-2</v>
      </c>
      <c r="H149" s="35">
        <f t="shared" si="15"/>
        <v>4.0058990304171732E-2</v>
      </c>
      <c r="I149" s="35">
        <f t="shared" si="16"/>
        <v>0</v>
      </c>
      <c r="J149" s="35">
        <f t="shared" si="17"/>
        <v>0</v>
      </c>
    </row>
    <row r="150" spans="1:10">
      <c r="A150" s="16"/>
      <c r="D150" s="19">
        <v>1.0376939462730661E-4</v>
      </c>
      <c r="E150">
        <f t="shared" si="12"/>
        <v>0.24674701732059476</v>
      </c>
      <c r="F150" s="35">
        <f t="shared" si="13"/>
        <v>0</v>
      </c>
      <c r="G150" s="35">
        <f t="shared" si="14"/>
        <v>2.9533941392472781E-2</v>
      </c>
      <c r="H150" s="35">
        <f t="shared" si="15"/>
        <v>3.972654978902021E-2</v>
      </c>
      <c r="I150" s="35">
        <f t="shared" si="16"/>
        <v>0</v>
      </c>
      <c r="J150" s="35">
        <f t="shared" si="17"/>
        <v>0</v>
      </c>
    </row>
    <row r="151" spans="1:10">
      <c r="A151" s="16"/>
      <c r="D151" s="19">
        <v>1.0290824138792232E-4</v>
      </c>
      <c r="E151">
        <f t="shared" si="12"/>
        <v>0.2446993327018572</v>
      </c>
      <c r="F151" s="35">
        <f t="shared" si="13"/>
        <v>0</v>
      </c>
      <c r="G151" s="35">
        <f t="shared" si="14"/>
        <v>2.9288846281252865E-2</v>
      </c>
      <c r="H151" s="35">
        <f t="shared" si="15"/>
        <v>3.9396867900344829E-2</v>
      </c>
      <c r="I151" s="35">
        <f t="shared" si="16"/>
        <v>0</v>
      </c>
      <c r="J151" s="35">
        <f t="shared" si="17"/>
        <v>0</v>
      </c>
    </row>
    <row r="152" spans="1:10">
      <c r="A152" s="16"/>
      <c r="D152" s="19">
        <v>1.0205422586295754E-4</v>
      </c>
      <c r="E152">
        <f t="shared" si="12"/>
        <v>0.24266862042597495</v>
      </c>
      <c r="F152" s="35">
        <f t="shared" si="13"/>
        <v>0</v>
      </c>
      <c r="G152" s="35">
        <f t="shared" si="14"/>
        <v>2.9045786321777178E-2</v>
      </c>
      <c r="H152" s="35">
        <f t="shared" si="15"/>
        <v>3.9069922722542977E-2</v>
      </c>
      <c r="I152" s="35">
        <f t="shared" si="16"/>
        <v>0</v>
      </c>
      <c r="J152" s="35">
        <f t="shared" si="17"/>
        <v>0</v>
      </c>
    </row>
    <row r="153" spans="1:10">
      <c r="A153" s="16"/>
      <c r="D153" s="19">
        <v>1.0120730439666659E-4</v>
      </c>
      <c r="E153">
        <f t="shared" si="12"/>
        <v>0.24065477668656968</v>
      </c>
      <c r="F153" s="35">
        <f t="shared" si="13"/>
        <v>0</v>
      </c>
      <c r="G153" s="35">
        <f t="shared" si="14"/>
        <v>2.8804740977701183E-2</v>
      </c>
      <c r="H153" s="35">
        <f t="shared" si="15"/>
        <v>3.8745692340012072E-2</v>
      </c>
      <c r="I153" s="35">
        <f t="shared" si="16"/>
        <v>0</v>
      </c>
      <c r="J153" s="35">
        <f t="shared" si="17"/>
        <v>0</v>
      </c>
    </row>
    <row r="154" spans="1:10">
      <c r="A154" s="16"/>
    </row>
    <row r="155" spans="1:10">
      <c r="A155" s="16"/>
    </row>
    <row r="156" spans="1:10">
      <c r="A156" s="16"/>
    </row>
    <row r="157" spans="1:10">
      <c r="A157" s="16"/>
    </row>
    <row r="158" spans="1:10">
      <c r="A158" s="16"/>
    </row>
    <row r="159" spans="1:10">
      <c r="A159" s="16"/>
    </row>
    <row r="160" spans="1:10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  <row r="167" spans="1:1">
      <c r="A167" s="16"/>
    </row>
    <row r="168" spans="1:1">
      <c r="A168" s="16"/>
    </row>
    <row r="169" spans="1:1">
      <c r="A169" s="16"/>
    </row>
    <row r="170" spans="1:1">
      <c r="A170" s="16"/>
    </row>
    <row r="171" spans="1:1">
      <c r="A171" s="16"/>
    </row>
    <row r="172" spans="1:1">
      <c r="A172" s="16"/>
    </row>
    <row r="173" spans="1:1">
      <c r="A173" s="16"/>
    </row>
    <row r="174" spans="1:1">
      <c r="A174" s="16"/>
    </row>
    <row r="175" spans="1:1">
      <c r="A175" s="16"/>
    </row>
    <row r="176" spans="1:1">
      <c r="A176" s="16"/>
    </row>
    <row r="177" spans="1:1">
      <c r="A177" s="16"/>
    </row>
    <row r="178" spans="1:1">
      <c r="A178" s="16"/>
    </row>
    <row r="179" spans="1:1">
      <c r="A179" s="16"/>
    </row>
    <row r="180" spans="1:1">
      <c r="A180" s="16"/>
    </row>
    <row r="181" spans="1:1">
      <c r="A181" s="16"/>
    </row>
    <row r="182" spans="1:1">
      <c r="A182" s="16"/>
    </row>
    <row r="183" spans="1:1">
      <c r="A183" s="16"/>
    </row>
    <row r="184" spans="1:1">
      <c r="A184" s="16"/>
    </row>
    <row r="185" spans="1:1">
      <c r="A185" s="16"/>
    </row>
    <row r="186" spans="1:1">
      <c r="A186" s="16"/>
    </row>
    <row r="187" spans="1:1">
      <c r="A187" s="16"/>
    </row>
    <row r="188" spans="1:1">
      <c r="A188" s="16"/>
    </row>
    <row r="189" spans="1:1">
      <c r="A189" s="16"/>
    </row>
    <row r="190" spans="1:1">
      <c r="A190" s="16"/>
    </row>
    <row r="191" spans="1:1">
      <c r="A191" s="16"/>
    </row>
    <row r="192" spans="1:1">
      <c r="A192" s="16"/>
    </row>
    <row r="193" spans="1:1">
      <c r="A193" s="16"/>
    </row>
    <row r="194" spans="1:1">
      <c r="A194" s="16"/>
    </row>
    <row r="195" spans="1:1">
      <c r="A195" s="16"/>
    </row>
    <row r="196" spans="1:1">
      <c r="A196" s="16"/>
    </row>
    <row r="197" spans="1:1">
      <c r="A197" s="16"/>
    </row>
    <row r="198" spans="1:1">
      <c r="A198" s="16"/>
    </row>
    <row r="199" spans="1:1">
      <c r="A199" s="16"/>
    </row>
    <row r="200" spans="1:1">
      <c r="A200" s="16"/>
    </row>
    <row r="201" spans="1:1">
      <c r="A201" s="16"/>
    </row>
    <row r="202" spans="1:1">
      <c r="A202" s="16"/>
    </row>
    <row r="203" spans="1:1">
      <c r="A203" s="16"/>
    </row>
    <row r="204" spans="1:1">
      <c r="A204" s="16"/>
    </row>
    <row r="205" spans="1:1">
      <c r="A205" s="16"/>
    </row>
    <row r="206" spans="1:1">
      <c r="A206" s="16"/>
    </row>
    <row r="207" spans="1:1">
      <c r="A207" s="16"/>
    </row>
    <row r="208" spans="1:1">
      <c r="A208" s="16"/>
    </row>
    <row r="209" spans="1:1">
      <c r="A209" s="16"/>
    </row>
    <row r="210" spans="1:1">
      <c r="A210" s="16"/>
    </row>
    <row r="211" spans="1:1">
      <c r="A211" s="16"/>
    </row>
    <row r="212" spans="1:1">
      <c r="A212" s="16"/>
    </row>
    <row r="213" spans="1:1">
      <c r="A213" s="16"/>
    </row>
    <row r="214" spans="1:1">
      <c r="A214" s="16"/>
    </row>
    <row r="215" spans="1:1">
      <c r="A215" s="16"/>
    </row>
    <row r="216" spans="1:1">
      <c r="A216" s="16"/>
    </row>
    <row r="217" spans="1:1">
      <c r="A217" s="16"/>
    </row>
    <row r="218" spans="1:1">
      <c r="A218" s="16"/>
    </row>
    <row r="219" spans="1:1">
      <c r="A219" s="16"/>
    </row>
    <row r="220" spans="1:1">
      <c r="A220" s="16"/>
    </row>
    <row r="221" spans="1:1">
      <c r="A221" s="16"/>
    </row>
    <row r="222" spans="1:1">
      <c r="A222" s="16"/>
    </row>
    <row r="223" spans="1:1">
      <c r="A223" s="16"/>
    </row>
    <row r="224" spans="1:1">
      <c r="A224" s="16"/>
    </row>
    <row r="225" spans="1:1">
      <c r="A225" s="16"/>
    </row>
    <row r="226" spans="1:1">
      <c r="A226" s="16"/>
    </row>
    <row r="227" spans="1:1">
      <c r="A227" s="16"/>
    </row>
    <row r="228" spans="1:1">
      <c r="A228" s="16"/>
    </row>
    <row r="229" spans="1:1">
      <c r="A229" s="16"/>
    </row>
    <row r="230" spans="1:1">
      <c r="A230" s="16"/>
    </row>
    <row r="231" spans="1:1">
      <c r="A231" s="16"/>
    </row>
    <row r="232" spans="1:1">
      <c r="A232" s="16"/>
    </row>
    <row r="233" spans="1:1">
      <c r="A233" s="16"/>
    </row>
    <row r="234" spans="1:1">
      <c r="A234" s="16"/>
    </row>
    <row r="235" spans="1:1">
      <c r="A235" s="16"/>
    </row>
    <row r="236" spans="1:1">
      <c r="A236" s="16"/>
    </row>
    <row r="237" spans="1:1">
      <c r="A237" s="16"/>
    </row>
    <row r="238" spans="1:1">
      <c r="A238" s="16"/>
    </row>
    <row r="239" spans="1:1">
      <c r="A239" s="16"/>
    </row>
    <row r="240" spans="1:1">
      <c r="A240" s="16"/>
    </row>
    <row r="241" spans="1:1">
      <c r="A241" s="16"/>
    </row>
    <row r="242" spans="1:1">
      <c r="A242" s="16"/>
    </row>
    <row r="243" spans="1:1">
      <c r="A243" s="16"/>
    </row>
    <row r="244" spans="1:1">
      <c r="A244" s="16"/>
    </row>
    <row r="245" spans="1:1">
      <c r="A245" s="16"/>
    </row>
    <row r="246" spans="1:1">
      <c r="A246" s="16"/>
    </row>
    <row r="247" spans="1:1">
      <c r="A247" s="16"/>
    </row>
    <row r="248" spans="1:1">
      <c r="A248" s="16"/>
    </row>
    <row r="249" spans="1:1">
      <c r="A249" s="16"/>
    </row>
    <row r="250" spans="1:1">
      <c r="A250" s="16"/>
    </row>
    <row r="251" spans="1:1">
      <c r="A251" s="16"/>
    </row>
    <row r="252" spans="1:1">
      <c r="A252" s="16"/>
    </row>
    <row r="253" spans="1:1">
      <c r="A253" s="16"/>
    </row>
    <row r="254" spans="1:1">
      <c r="A254" s="16"/>
    </row>
    <row r="255" spans="1:1">
      <c r="A255" s="16"/>
    </row>
    <row r="256" spans="1:1">
      <c r="A256" s="16"/>
    </row>
    <row r="257" spans="1:1">
      <c r="A257" s="16"/>
    </row>
    <row r="258" spans="1:1">
      <c r="A258" s="16"/>
    </row>
    <row r="259" spans="1:1">
      <c r="A259" s="16"/>
    </row>
    <row r="260" spans="1:1">
      <c r="A260" s="16"/>
    </row>
    <row r="261" spans="1:1">
      <c r="A261" s="16"/>
    </row>
    <row r="262" spans="1:1">
      <c r="A262" s="16"/>
    </row>
    <row r="263" spans="1:1">
      <c r="A263" s="16"/>
    </row>
    <row r="264" spans="1:1">
      <c r="A264" s="16"/>
    </row>
    <row r="265" spans="1:1">
      <c r="A265" s="16"/>
    </row>
    <row r="266" spans="1:1">
      <c r="A266" s="16"/>
    </row>
    <row r="267" spans="1:1">
      <c r="A267" s="16"/>
    </row>
    <row r="268" spans="1:1">
      <c r="A268" s="16"/>
    </row>
    <row r="269" spans="1:1">
      <c r="A269" s="16"/>
    </row>
    <row r="270" spans="1:1">
      <c r="A270" s="16"/>
    </row>
    <row r="271" spans="1:1">
      <c r="A271" s="16"/>
    </row>
    <row r="272" spans="1:1">
      <c r="A272" s="16"/>
    </row>
    <row r="273" spans="1:1">
      <c r="A273" s="16"/>
    </row>
    <row r="274" spans="1:1">
      <c r="A274" s="16"/>
    </row>
    <row r="275" spans="1:1">
      <c r="A275" s="16"/>
    </row>
    <row r="276" spans="1:1">
      <c r="A276" s="16"/>
    </row>
    <row r="277" spans="1:1">
      <c r="A277" s="16"/>
    </row>
    <row r="278" spans="1:1">
      <c r="A278" s="16"/>
    </row>
    <row r="279" spans="1:1">
      <c r="A279" s="16"/>
    </row>
    <row r="280" spans="1:1">
      <c r="A280" s="16"/>
    </row>
    <row r="281" spans="1:1">
      <c r="A281" s="16"/>
    </row>
    <row r="282" spans="1:1">
      <c r="A282" s="16"/>
    </row>
    <row r="283" spans="1:1">
      <c r="A283" s="16"/>
    </row>
    <row r="284" spans="1:1">
      <c r="A284" s="16"/>
    </row>
    <row r="285" spans="1:1">
      <c r="A285" s="16"/>
    </row>
    <row r="286" spans="1:1">
      <c r="A286" s="16"/>
    </row>
    <row r="287" spans="1:1">
      <c r="A287" s="16"/>
    </row>
    <row r="288" spans="1:1">
      <c r="A288" s="16"/>
    </row>
    <row r="289" spans="1:1">
      <c r="A289" s="16"/>
    </row>
    <row r="290" spans="1:1">
      <c r="A290" s="16"/>
    </row>
    <row r="291" spans="1:1">
      <c r="A291" s="16"/>
    </row>
    <row r="292" spans="1:1">
      <c r="A292" s="16"/>
    </row>
    <row r="293" spans="1:1">
      <c r="A293" s="16"/>
    </row>
    <row r="294" spans="1:1">
      <c r="A294" s="16"/>
    </row>
    <row r="295" spans="1:1">
      <c r="A295" s="16"/>
    </row>
    <row r="296" spans="1:1">
      <c r="A296" s="16"/>
    </row>
    <row r="297" spans="1:1">
      <c r="A297" s="16"/>
    </row>
    <row r="298" spans="1:1">
      <c r="A298" s="16"/>
    </row>
    <row r="299" spans="1:1">
      <c r="A299" s="16"/>
    </row>
    <row r="300" spans="1:1">
      <c r="A300" s="16"/>
    </row>
    <row r="301" spans="1:1">
      <c r="A301" s="16"/>
    </row>
    <row r="302" spans="1:1">
      <c r="A302" s="16"/>
    </row>
    <row r="303" spans="1:1">
      <c r="A303" s="16"/>
    </row>
    <row r="304" spans="1:1">
      <c r="A304" s="16"/>
    </row>
    <row r="305" spans="1:1">
      <c r="A305" s="16"/>
    </row>
    <row r="306" spans="1:1">
      <c r="A306" s="16"/>
    </row>
    <row r="307" spans="1:1">
      <c r="A307" s="16"/>
    </row>
    <row r="308" spans="1:1">
      <c r="A308" s="16"/>
    </row>
    <row r="309" spans="1:1">
      <c r="A309" s="16"/>
    </row>
    <row r="310" spans="1:1">
      <c r="A310" s="16"/>
    </row>
    <row r="311" spans="1:1">
      <c r="A311" s="16"/>
    </row>
    <row r="312" spans="1:1">
      <c r="A312" s="16"/>
    </row>
    <row r="313" spans="1:1">
      <c r="A313" s="16"/>
    </row>
    <row r="314" spans="1:1">
      <c r="A314" s="16"/>
    </row>
    <row r="315" spans="1:1">
      <c r="A315" s="16"/>
    </row>
    <row r="316" spans="1:1">
      <c r="A316" s="16"/>
    </row>
    <row r="317" spans="1:1">
      <c r="A317" s="16"/>
    </row>
    <row r="318" spans="1:1">
      <c r="A318" s="16"/>
    </row>
    <row r="319" spans="1:1">
      <c r="A319" s="16"/>
    </row>
    <row r="320" spans="1:1">
      <c r="A320" s="16"/>
    </row>
    <row r="321" spans="1:1">
      <c r="A321" s="16"/>
    </row>
    <row r="322" spans="1:1">
      <c r="A322" s="16"/>
    </row>
    <row r="323" spans="1:1">
      <c r="A323" s="16"/>
    </row>
    <row r="324" spans="1:1">
      <c r="A324" s="16"/>
    </row>
    <row r="325" spans="1:1">
      <c r="A325" s="16"/>
    </row>
    <row r="326" spans="1:1">
      <c r="A326" s="16"/>
    </row>
    <row r="327" spans="1:1">
      <c r="A327" s="16"/>
    </row>
    <row r="328" spans="1:1">
      <c r="A328" s="16"/>
    </row>
    <row r="329" spans="1:1">
      <c r="A329" s="16"/>
    </row>
    <row r="330" spans="1:1">
      <c r="A330" s="16"/>
    </row>
    <row r="331" spans="1:1">
      <c r="A331" s="16"/>
    </row>
    <row r="332" spans="1:1">
      <c r="A332" s="16"/>
    </row>
    <row r="333" spans="1:1">
      <c r="A333" s="16"/>
    </row>
    <row r="334" spans="1:1">
      <c r="A334" s="16"/>
    </row>
    <row r="335" spans="1:1">
      <c r="A335" s="16"/>
    </row>
    <row r="336" spans="1:1">
      <c r="A336" s="16"/>
    </row>
    <row r="337" spans="1:1">
      <c r="A337" s="16"/>
    </row>
    <row r="338" spans="1:1">
      <c r="A338" s="16"/>
    </row>
    <row r="339" spans="1:1">
      <c r="A339" s="16"/>
    </row>
    <row r="340" spans="1:1">
      <c r="A340" s="16"/>
    </row>
    <row r="341" spans="1:1">
      <c r="A341" s="16"/>
    </row>
    <row r="342" spans="1:1">
      <c r="A342" s="16"/>
    </row>
    <row r="343" spans="1:1">
      <c r="A343" s="16"/>
    </row>
    <row r="344" spans="1:1">
      <c r="A344" s="16"/>
    </row>
    <row r="345" spans="1:1">
      <c r="A345" s="16"/>
    </row>
    <row r="346" spans="1:1">
      <c r="A346" s="16"/>
    </row>
    <row r="347" spans="1:1">
      <c r="A347" s="16"/>
    </row>
    <row r="348" spans="1:1">
      <c r="A348" s="16"/>
    </row>
    <row r="349" spans="1:1">
      <c r="A349" s="16"/>
    </row>
    <row r="350" spans="1:1">
      <c r="A350" s="16"/>
    </row>
    <row r="351" spans="1:1">
      <c r="A351" s="16"/>
    </row>
    <row r="352" spans="1:1">
      <c r="A352" s="16"/>
    </row>
    <row r="353" spans="1:1">
      <c r="A353" s="16"/>
    </row>
    <row r="354" spans="1:1">
      <c r="A354" s="16"/>
    </row>
    <row r="355" spans="1:1">
      <c r="A355" s="16"/>
    </row>
    <row r="356" spans="1:1">
      <c r="A356" s="16"/>
    </row>
    <row r="357" spans="1:1">
      <c r="A357" s="16"/>
    </row>
    <row r="358" spans="1:1">
      <c r="A358" s="16"/>
    </row>
    <row r="359" spans="1:1">
      <c r="A359" s="16"/>
    </row>
    <row r="360" spans="1:1">
      <c r="A360" s="16"/>
    </row>
    <row r="361" spans="1:1">
      <c r="A361" s="16"/>
    </row>
    <row r="362" spans="1:1">
      <c r="A362" s="16"/>
    </row>
    <row r="363" spans="1:1">
      <c r="A363" s="16"/>
    </row>
    <row r="364" spans="1:1">
      <c r="A364" s="16"/>
    </row>
    <row r="365" spans="1:1">
      <c r="A365" s="16"/>
    </row>
    <row r="366" spans="1:1">
      <c r="A366" s="16"/>
    </row>
    <row r="367" spans="1:1">
      <c r="A367" s="16"/>
    </row>
    <row r="368" spans="1:1">
      <c r="A368" s="16"/>
    </row>
    <row r="369" spans="1:1">
      <c r="A369" s="16"/>
    </row>
    <row r="370" spans="1:1">
      <c r="A370" s="16"/>
    </row>
    <row r="371" spans="1:1">
      <c r="A371" s="16"/>
    </row>
    <row r="372" spans="1:1">
      <c r="A372" s="16"/>
    </row>
    <row r="373" spans="1:1">
      <c r="A373" s="16"/>
    </row>
    <row r="374" spans="1:1">
      <c r="A374" s="16"/>
    </row>
    <row r="375" spans="1:1">
      <c r="A375" s="16"/>
    </row>
    <row r="376" spans="1:1">
      <c r="A376" s="16"/>
    </row>
    <row r="377" spans="1:1">
      <c r="A377" s="16"/>
    </row>
    <row r="378" spans="1:1">
      <c r="A378" s="16"/>
    </row>
    <row r="379" spans="1:1">
      <c r="A379" s="16"/>
    </row>
    <row r="380" spans="1:1">
      <c r="A380" s="16"/>
    </row>
    <row r="381" spans="1:1">
      <c r="A381" s="16"/>
    </row>
    <row r="382" spans="1:1">
      <c r="A382" s="16"/>
    </row>
    <row r="383" spans="1:1">
      <c r="A383" s="16"/>
    </row>
    <row r="384" spans="1:1">
      <c r="A384" s="16"/>
    </row>
    <row r="385" spans="1:1">
      <c r="A385" s="16"/>
    </row>
    <row r="386" spans="1:1">
      <c r="A386" s="16"/>
    </row>
    <row r="387" spans="1:1">
      <c r="A387" s="16"/>
    </row>
    <row r="388" spans="1:1">
      <c r="A388" s="16"/>
    </row>
    <row r="389" spans="1:1">
      <c r="A389" s="16"/>
    </row>
    <row r="390" spans="1:1">
      <c r="A390" s="16"/>
    </row>
    <row r="391" spans="1:1">
      <c r="A391" s="16"/>
    </row>
    <row r="392" spans="1:1">
      <c r="A392" s="16"/>
    </row>
    <row r="393" spans="1:1">
      <c r="A393" s="16"/>
    </row>
    <row r="394" spans="1:1">
      <c r="A394" s="16"/>
    </row>
    <row r="395" spans="1:1">
      <c r="A395" s="16"/>
    </row>
    <row r="396" spans="1:1">
      <c r="A396" s="16"/>
    </row>
    <row r="397" spans="1:1">
      <c r="A397" s="16"/>
    </row>
    <row r="398" spans="1:1">
      <c r="A398" s="16"/>
    </row>
    <row r="399" spans="1:1">
      <c r="A399" s="16"/>
    </row>
    <row r="400" spans="1:1">
      <c r="A400" s="16"/>
    </row>
    <row r="401" spans="1:1">
      <c r="A401" s="16"/>
    </row>
    <row r="402" spans="1:1">
      <c r="A402" s="16"/>
    </row>
    <row r="403" spans="1:1">
      <c r="A403" s="16"/>
    </row>
    <row r="404" spans="1:1">
      <c r="A404" s="16"/>
    </row>
    <row r="405" spans="1:1">
      <c r="A405" s="16"/>
    </row>
    <row r="406" spans="1:1">
      <c r="A406" s="16"/>
    </row>
    <row r="407" spans="1:1">
      <c r="A407" s="16"/>
    </row>
    <row r="408" spans="1:1">
      <c r="A408" s="16"/>
    </row>
    <row r="409" spans="1:1">
      <c r="A409" s="16"/>
    </row>
    <row r="410" spans="1:1">
      <c r="A410" s="16"/>
    </row>
    <row r="411" spans="1:1">
      <c r="A411" s="16"/>
    </row>
    <row r="412" spans="1:1">
      <c r="A412" s="16"/>
    </row>
    <row r="413" spans="1:1">
      <c r="A413" s="16"/>
    </row>
    <row r="414" spans="1:1">
      <c r="A414" s="16"/>
    </row>
    <row r="415" spans="1:1">
      <c r="A415" s="16"/>
    </row>
    <row r="416" spans="1:1">
      <c r="A416" s="16"/>
    </row>
    <row r="417" spans="1:1">
      <c r="A417" s="16"/>
    </row>
    <row r="418" spans="1:1">
      <c r="A418" s="16"/>
    </row>
    <row r="419" spans="1:1">
      <c r="A419" s="16"/>
    </row>
    <row r="420" spans="1:1">
      <c r="A420" s="16"/>
    </row>
    <row r="421" spans="1:1">
      <c r="A421" s="16"/>
    </row>
    <row r="422" spans="1:1">
      <c r="A422" s="16"/>
    </row>
    <row r="423" spans="1:1">
      <c r="A423" s="16"/>
    </row>
    <row r="424" spans="1:1">
      <c r="A424" s="16"/>
    </row>
    <row r="425" spans="1:1">
      <c r="A425" s="16"/>
    </row>
    <row r="426" spans="1:1">
      <c r="A426" s="16"/>
    </row>
    <row r="427" spans="1:1">
      <c r="A427" s="16"/>
    </row>
    <row r="428" spans="1:1">
      <c r="A428" s="16"/>
    </row>
    <row r="429" spans="1:1">
      <c r="A429" s="16"/>
    </row>
    <row r="430" spans="1:1">
      <c r="A430" s="16"/>
    </row>
    <row r="431" spans="1:1">
      <c r="A431" s="16"/>
    </row>
    <row r="432" spans="1:1">
      <c r="A432" s="16"/>
    </row>
    <row r="433" spans="1:1">
      <c r="A433" s="16"/>
    </row>
    <row r="434" spans="1:1">
      <c r="A434" s="16"/>
    </row>
    <row r="435" spans="1:1">
      <c r="A435" s="16"/>
    </row>
    <row r="436" spans="1:1">
      <c r="A436" s="16"/>
    </row>
    <row r="437" spans="1:1">
      <c r="A437" s="16"/>
    </row>
    <row r="438" spans="1:1">
      <c r="A438" s="16"/>
    </row>
    <row r="439" spans="1:1">
      <c r="A439" s="16"/>
    </row>
    <row r="440" spans="1:1">
      <c r="A440" s="16"/>
    </row>
    <row r="441" spans="1:1">
      <c r="A441" s="16"/>
    </row>
    <row r="442" spans="1:1">
      <c r="A442" s="16"/>
    </row>
    <row r="443" spans="1:1">
      <c r="A443" s="16"/>
    </row>
    <row r="444" spans="1:1">
      <c r="A444" s="16"/>
    </row>
    <row r="445" spans="1:1">
      <c r="A445" s="16"/>
    </row>
    <row r="446" spans="1:1">
      <c r="A446" s="16"/>
    </row>
    <row r="447" spans="1:1">
      <c r="A447" s="16"/>
    </row>
    <row r="448" spans="1:1">
      <c r="A448" s="16"/>
    </row>
    <row r="449" spans="1:1">
      <c r="A449" s="16"/>
    </row>
    <row r="450" spans="1:1">
      <c r="A450" s="16"/>
    </row>
    <row r="451" spans="1:1">
      <c r="A451" s="16"/>
    </row>
    <row r="452" spans="1:1">
      <c r="A452" s="16"/>
    </row>
    <row r="453" spans="1:1">
      <c r="A453" s="16"/>
    </row>
    <row r="454" spans="1:1">
      <c r="A454" s="16"/>
    </row>
    <row r="455" spans="1:1">
      <c r="A455" s="16"/>
    </row>
    <row r="456" spans="1:1">
      <c r="A456" s="16"/>
    </row>
    <row r="457" spans="1:1">
      <c r="A457" s="16"/>
    </row>
    <row r="458" spans="1:1">
      <c r="A458" s="16"/>
    </row>
    <row r="459" spans="1:1">
      <c r="A459" s="16"/>
    </row>
    <row r="460" spans="1:1">
      <c r="A460" s="16"/>
    </row>
    <row r="461" spans="1:1">
      <c r="A461" s="16"/>
    </row>
    <row r="462" spans="1:1">
      <c r="A462" s="16"/>
    </row>
    <row r="463" spans="1:1">
      <c r="A463" s="16"/>
    </row>
    <row r="464" spans="1:1">
      <c r="A464" s="16"/>
    </row>
    <row r="465" spans="1:1">
      <c r="A465" s="16"/>
    </row>
    <row r="466" spans="1:1">
      <c r="A466" s="16"/>
    </row>
    <row r="467" spans="1:1">
      <c r="A467" s="16"/>
    </row>
    <row r="468" spans="1:1">
      <c r="A468" s="16"/>
    </row>
    <row r="469" spans="1:1">
      <c r="A469" s="16"/>
    </row>
    <row r="470" spans="1:1">
      <c r="A470" s="16"/>
    </row>
    <row r="471" spans="1:1">
      <c r="A471" s="16"/>
    </row>
    <row r="472" spans="1:1">
      <c r="A472" s="16"/>
    </row>
    <row r="473" spans="1:1">
      <c r="A473" s="16"/>
    </row>
    <row r="474" spans="1:1">
      <c r="A474" s="16"/>
    </row>
    <row r="475" spans="1:1">
      <c r="A475" s="16"/>
    </row>
    <row r="476" spans="1:1">
      <c r="A476" s="16"/>
    </row>
    <row r="477" spans="1:1">
      <c r="A477" s="16"/>
    </row>
    <row r="478" spans="1:1">
      <c r="A478" s="16"/>
    </row>
    <row r="479" spans="1:1">
      <c r="A479" s="16"/>
    </row>
    <row r="480" spans="1:1">
      <c r="A480" s="16"/>
    </row>
    <row r="481" spans="1:1">
      <c r="A481" s="16"/>
    </row>
    <row r="482" spans="1:1">
      <c r="A482" s="16"/>
    </row>
    <row r="483" spans="1:1">
      <c r="A483" s="16"/>
    </row>
    <row r="484" spans="1:1">
      <c r="A484" s="16"/>
    </row>
    <row r="485" spans="1:1">
      <c r="A485" s="16"/>
    </row>
    <row r="486" spans="1:1">
      <c r="A486" s="16"/>
    </row>
    <row r="487" spans="1:1">
      <c r="A487" s="16"/>
    </row>
    <row r="488" spans="1:1">
      <c r="A488" s="16"/>
    </row>
    <row r="489" spans="1:1">
      <c r="A489" s="16"/>
    </row>
    <row r="490" spans="1:1">
      <c r="A490" s="16"/>
    </row>
    <row r="491" spans="1:1">
      <c r="A491" s="16"/>
    </row>
    <row r="492" spans="1:1">
      <c r="A492" s="16"/>
    </row>
    <row r="493" spans="1:1">
      <c r="A493" s="16"/>
    </row>
    <row r="494" spans="1:1">
      <c r="A494" s="16"/>
    </row>
    <row r="495" spans="1:1">
      <c r="A495" s="16"/>
    </row>
    <row r="496" spans="1:1">
      <c r="A496" s="16"/>
    </row>
    <row r="497" spans="1:1">
      <c r="A497" s="16"/>
    </row>
    <row r="498" spans="1:1">
      <c r="A498" s="16"/>
    </row>
    <row r="499" spans="1:1">
      <c r="A499" s="16"/>
    </row>
    <row r="500" spans="1:1">
      <c r="A500" s="16"/>
    </row>
    <row r="501" spans="1:1">
      <c r="A501" s="16"/>
    </row>
    <row r="502" spans="1:1">
      <c r="A502" s="16"/>
    </row>
    <row r="503" spans="1:1">
      <c r="A503" s="16"/>
    </row>
    <row r="504" spans="1:1">
      <c r="A504" s="16"/>
    </row>
    <row r="505" spans="1:1">
      <c r="A505" s="16"/>
    </row>
    <row r="506" spans="1:1">
      <c r="A506" s="16"/>
    </row>
    <row r="507" spans="1:1">
      <c r="A507" s="16"/>
    </row>
    <row r="508" spans="1:1">
      <c r="A508" s="16"/>
    </row>
    <row r="509" spans="1:1">
      <c r="A509" s="16"/>
    </row>
    <row r="510" spans="1:1">
      <c r="A510" s="16"/>
    </row>
    <row r="511" spans="1:1">
      <c r="A511" s="16"/>
    </row>
    <row r="512" spans="1:1">
      <c r="A512" s="16"/>
    </row>
    <row r="513" spans="1:1">
      <c r="A513" s="16"/>
    </row>
    <row r="514" spans="1:1">
      <c r="A514" s="16"/>
    </row>
    <row r="515" spans="1:1">
      <c r="A515" s="16"/>
    </row>
    <row r="516" spans="1:1">
      <c r="A516" s="16"/>
    </row>
    <row r="517" spans="1:1">
      <c r="A517" s="16"/>
    </row>
    <row r="518" spans="1:1">
      <c r="A518" s="16"/>
    </row>
    <row r="519" spans="1:1">
      <c r="A519" s="16"/>
    </row>
    <row r="520" spans="1:1">
      <c r="A520" s="16"/>
    </row>
    <row r="521" spans="1:1">
      <c r="A521" s="16"/>
    </row>
    <row r="522" spans="1:1">
      <c r="A522" s="16"/>
    </row>
    <row r="523" spans="1:1">
      <c r="A523" s="16"/>
    </row>
    <row r="524" spans="1:1">
      <c r="A524" s="16"/>
    </row>
    <row r="525" spans="1:1">
      <c r="A525" s="16"/>
    </row>
    <row r="526" spans="1:1">
      <c r="A526" s="16"/>
    </row>
    <row r="527" spans="1:1">
      <c r="A527" s="16"/>
    </row>
    <row r="528" spans="1:1">
      <c r="A528" s="16"/>
    </row>
    <row r="529" spans="1:1">
      <c r="A529" s="16"/>
    </row>
    <row r="530" spans="1:1">
      <c r="A530" s="16"/>
    </row>
    <row r="531" spans="1:1">
      <c r="A531" s="16"/>
    </row>
    <row r="532" spans="1:1">
      <c r="A532" s="16"/>
    </row>
    <row r="533" spans="1:1">
      <c r="A533" s="16"/>
    </row>
    <row r="534" spans="1:1">
      <c r="A534" s="16"/>
    </row>
    <row r="535" spans="1:1">
      <c r="A535" s="16"/>
    </row>
    <row r="536" spans="1:1">
      <c r="A536" s="16"/>
    </row>
    <row r="537" spans="1:1">
      <c r="A537" s="16"/>
    </row>
    <row r="538" spans="1:1">
      <c r="A538" s="16"/>
    </row>
    <row r="539" spans="1:1">
      <c r="A539" s="16"/>
    </row>
    <row r="540" spans="1:1">
      <c r="A540" s="16"/>
    </row>
    <row r="541" spans="1:1">
      <c r="A541" s="16"/>
    </row>
    <row r="542" spans="1:1">
      <c r="A542" s="16"/>
    </row>
    <row r="543" spans="1:1">
      <c r="A543" s="16"/>
    </row>
    <row r="544" spans="1:1">
      <c r="A544" s="16"/>
    </row>
    <row r="545" spans="1:1">
      <c r="A545" s="16"/>
    </row>
    <row r="546" spans="1:1">
      <c r="A546" s="16"/>
    </row>
    <row r="547" spans="1:1">
      <c r="A547" s="16"/>
    </row>
    <row r="548" spans="1:1">
      <c r="A548" s="16"/>
    </row>
    <row r="549" spans="1:1">
      <c r="A549" s="16"/>
    </row>
    <row r="550" spans="1:1">
      <c r="A550" s="16"/>
    </row>
    <row r="551" spans="1:1">
      <c r="A551" s="16"/>
    </row>
    <row r="552" spans="1:1">
      <c r="A552" s="16"/>
    </row>
    <row r="553" spans="1:1">
      <c r="A553" s="16"/>
    </row>
    <row r="554" spans="1:1">
      <c r="A554" s="16"/>
    </row>
    <row r="555" spans="1:1">
      <c r="A555" s="16"/>
    </row>
    <row r="556" spans="1:1">
      <c r="A556" s="16"/>
    </row>
    <row r="557" spans="1:1">
      <c r="A557" s="16"/>
    </row>
    <row r="558" spans="1:1">
      <c r="A558" s="16"/>
    </row>
    <row r="559" spans="1:1">
      <c r="A559" s="16"/>
    </row>
    <row r="560" spans="1:1">
      <c r="A560" s="16"/>
    </row>
    <row r="561" spans="1:1">
      <c r="A561" s="16"/>
    </row>
    <row r="562" spans="1:1">
      <c r="A562" s="16"/>
    </row>
    <row r="563" spans="1:1">
      <c r="A563" s="16"/>
    </row>
    <row r="564" spans="1:1">
      <c r="A564" s="16"/>
    </row>
    <row r="565" spans="1:1">
      <c r="A565" s="16"/>
    </row>
    <row r="566" spans="1:1">
      <c r="A566" s="16"/>
    </row>
    <row r="567" spans="1:1">
      <c r="A567" s="16"/>
    </row>
    <row r="568" spans="1:1">
      <c r="A568" s="16"/>
    </row>
    <row r="569" spans="1:1">
      <c r="A569" s="16"/>
    </row>
    <row r="570" spans="1:1">
      <c r="A570" s="16"/>
    </row>
    <row r="571" spans="1:1">
      <c r="A571" s="16"/>
    </row>
    <row r="572" spans="1:1">
      <c r="A572" s="16"/>
    </row>
    <row r="573" spans="1:1">
      <c r="A573" s="16"/>
    </row>
    <row r="574" spans="1:1">
      <c r="A574" s="16"/>
    </row>
    <row r="575" spans="1:1">
      <c r="A575" s="16"/>
    </row>
    <row r="576" spans="1:1">
      <c r="A576" s="16"/>
    </row>
    <row r="577" spans="1:1">
      <c r="A577" s="16"/>
    </row>
    <row r="578" spans="1:1">
      <c r="A578" s="16"/>
    </row>
    <row r="579" spans="1:1">
      <c r="A579" s="16"/>
    </row>
    <row r="580" spans="1:1">
      <c r="A580" s="16"/>
    </row>
    <row r="581" spans="1:1">
      <c r="A581" s="16"/>
    </row>
    <row r="582" spans="1:1">
      <c r="A582" s="16"/>
    </row>
    <row r="583" spans="1:1">
      <c r="A583" s="16"/>
    </row>
    <row r="584" spans="1:1">
      <c r="A584" s="16"/>
    </row>
    <row r="585" spans="1:1">
      <c r="A585" s="16"/>
    </row>
    <row r="586" spans="1:1">
      <c r="A586" s="16"/>
    </row>
    <row r="587" spans="1:1">
      <c r="A587" s="16"/>
    </row>
    <row r="588" spans="1:1">
      <c r="A588" s="16"/>
    </row>
    <row r="589" spans="1:1">
      <c r="A589" s="16"/>
    </row>
    <row r="590" spans="1:1">
      <c r="A590" s="16"/>
    </row>
    <row r="591" spans="1:1">
      <c r="A591" s="16"/>
    </row>
    <row r="592" spans="1:1">
      <c r="A592" s="16"/>
    </row>
    <row r="593" spans="1:1">
      <c r="A593" s="16"/>
    </row>
    <row r="594" spans="1:1">
      <c r="A594" s="16"/>
    </row>
    <row r="595" spans="1:1">
      <c r="A595" s="16"/>
    </row>
    <row r="596" spans="1:1">
      <c r="A596" s="16"/>
    </row>
    <row r="597" spans="1:1">
      <c r="A597" s="16"/>
    </row>
    <row r="598" spans="1:1">
      <c r="A598" s="16"/>
    </row>
    <row r="599" spans="1:1">
      <c r="A599" s="16"/>
    </row>
    <row r="600" spans="1:1">
      <c r="A600" s="16"/>
    </row>
    <row r="601" spans="1:1">
      <c r="A601" s="16"/>
    </row>
    <row r="602" spans="1:1">
      <c r="A602" s="16"/>
    </row>
    <row r="603" spans="1:1">
      <c r="A603" s="16"/>
    </row>
    <row r="604" spans="1:1">
      <c r="A604" s="16"/>
    </row>
    <row r="605" spans="1:1">
      <c r="A605" s="16"/>
    </row>
    <row r="606" spans="1:1">
      <c r="A606" s="16"/>
    </row>
    <row r="607" spans="1:1">
      <c r="A607" s="16"/>
    </row>
    <row r="608" spans="1:1">
      <c r="A608" s="16"/>
    </row>
    <row r="609" spans="1:1">
      <c r="A609" s="16"/>
    </row>
    <row r="610" spans="1:1">
      <c r="A610" s="16"/>
    </row>
    <row r="611" spans="1:1">
      <c r="A611" s="16"/>
    </row>
    <row r="612" spans="1:1">
      <c r="A612" s="16"/>
    </row>
    <row r="613" spans="1:1">
      <c r="A613" s="16"/>
    </row>
    <row r="614" spans="1:1">
      <c r="A614" s="16"/>
    </row>
    <row r="615" spans="1:1">
      <c r="A615" s="16"/>
    </row>
    <row r="616" spans="1:1">
      <c r="A616" s="16"/>
    </row>
    <row r="617" spans="1:1">
      <c r="A617" s="16"/>
    </row>
    <row r="618" spans="1:1">
      <c r="A618" s="16"/>
    </row>
    <row r="619" spans="1:1">
      <c r="A619" s="16"/>
    </row>
    <row r="620" spans="1:1">
      <c r="A620" s="16"/>
    </row>
    <row r="621" spans="1:1">
      <c r="A621" s="16"/>
    </row>
    <row r="622" spans="1:1">
      <c r="A622" s="16"/>
    </row>
    <row r="623" spans="1:1">
      <c r="A623" s="16"/>
    </row>
    <row r="624" spans="1:1">
      <c r="A624" s="16"/>
    </row>
    <row r="625" spans="1:1">
      <c r="A625" s="16"/>
    </row>
    <row r="626" spans="1:1">
      <c r="A626" s="16"/>
    </row>
    <row r="627" spans="1:1">
      <c r="A627" s="16"/>
    </row>
    <row r="628" spans="1:1">
      <c r="A628" s="16"/>
    </row>
    <row r="629" spans="1:1">
      <c r="A629" s="16"/>
    </row>
    <row r="630" spans="1:1">
      <c r="A630" s="16"/>
    </row>
    <row r="631" spans="1:1">
      <c r="A631" s="16"/>
    </row>
    <row r="632" spans="1:1">
      <c r="A632" s="16"/>
    </row>
    <row r="633" spans="1:1">
      <c r="A633" s="16"/>
    </row>
    <row r="634" spans="1:1">
      <c r="A634" s="16"/>
    </row>
    <row r="635" spans="1:1">
      <c r="A635" s="16"/>
    </row>
    <row r="636" spans="1:1">
      <c r="A636" s="16"/>
    </row>
    <row r="637" spans="1:1">
      <c r="A637" s="16"/>
    </row>
    <row r="638" spans="1:1">
      <c r="A638" s="16"/>
    </row>
    <row r="639" spans="1:1">
      <c r="A639" s="16"/>
    </row>
    <row r="640" spans="1:1">
      <c r="A640" s="16"/>
    </row>
    <row r="641" spans="1:1">
      <c r="A641" s="16"/>
    </row>
    <row r="642" spans="1:1">
      <c r="A642" s="16"/>
    </row>
    <row r="643" spans="1:1">
      <c r="A643" s="16"/>
    </row>
    <row r="644" spans="1:1">
      <c r="A644" s="16"/>
    </row>
    <row r="645" spans="1:1">
      <c r="A645" s="16"/>
    </row>
    <row r="646" spans="1:1">
      <c r="A646" s="16"/>
    </row>
    <row r="647" spans="1:1">
      <c r="A647" s="16"/>
    </row>
    <row r="648" spans="1:1">
      <c r="A648" s="16"/>
    </row>
    <row r="649" spans="1:1">
      <c r="A649" s="16"/>
    </row>
    <row r="650" spans="1:1">
      <c r="A650" s="16"/>
    </row>
    <row r="651" spans="1:1">
      <c r="A651" s="16"/>
    </row>
    <row r="652" spans="1:1">
      <c r="A652" s="16"/>
    </row>
    <row r="653" spans="1:1">
      <c r="A653" s="16"/>
    </row>
    <row r="654" spans="1:1">
      <c r="A654" s="16"/>
    </row>
    <row r="655" spans="1:1">
      <c r="A655" s="16"/>
    </row>
    <row r="656" spans="1:1">
      <c r="A656" s="16"/>
    </row>
    <row r="657" spans="1:1">
      <c r="A657" s="16"/>
    </row>
    <row r="658" spans="1:1">
      <c r="A658" s="16"/>
    </row>
    <row r="659" spans="1:1">
      <c r="A659" s="16"/>
    </row>
    <row r="660" spans="1:1">
      <c r="A660" s="16"/>
    </row>
    <row r="661" spans="1:1">
      <c r="A661" s="16"/>
    </row>
    <row r="662" spans="1:1">
      <c r="A662" s="16"/>
    </row>
    <row r="663" spans="1:1">
      <c r="A663" s="16"/>
    </row>
    <row r="664" spans="1:1">
      <c r="A664" s="16"/>
    </row>
    <row r="665" spans="1:1">
      <c r="A665" s="16"/>
    </row>
    <row r="666" spans="1:1">
      <c r="A666" s="16"/>
    </row>
    <row r="667" spans="1:1">
      <c r="A667" s="16"/>
    </row>
    <row r="668" spans="1:1">
      <c r="A668" s="16"/>
    </row>
    <row r="669" spans="1:1">
      <c r="A669" s="16"/>
    </row>
    <row r="670" spans="1:1">
      <c r="A670" s="16"/>
    </row>
    <row r="671" spans="1:1">
      <c r="A671" s="16"/>
    </row>
    <row r="672" spans="1:1">
      <c r="A672" s="16"/>
    </row>
    <row r="673" spans="1:1">
      <c r="A673" s="16"/>
    </row>
    <row r="674" spans="1:1">
      <c r="A674" s="16"/>
    </row>
    <row r="675" spans="1:1">
      <c r="A675" s="16"/>
    </row>
    <row r="676" spans="1:1">
      <c r="A676" s="16"/>
    </row>
    <row r="677" spans="1:1">
      <c r="A677" s="16"/>
    </row>
    <row r="678" spans="1:1">
      <c r="A678" s="16"/>
    </row>
    <row r="679" spans="1:1">
      <c r="A679" s="16"/>
    </row>
    <row r="680" spans="1:1">
      <c r="A680" s="16"/>
    </row>
    <row r="681" spans="1:1">
      <c r="A681" s="16"/>
    </row>
    <row r="682" spans="1:1">
      <c r="A682" s="16"/>
    </row>
    <row r="683" spans="1:1">
      <c r="A683" s="16"/>
    </row>
    <row r="684" spans="1:1">
      <c r="A684" s="16"/>
    </row>
    <row r="685" spans="1:1">
      <c r="A685" s="16"/>
    </row>
    <row r="686" spans="1:1">
      <c r="A686" s="16"/>
    </row>
    <row r="687" spans="1:1">
      <c r="A687" s="16"/>
    </row>
    <row r="688" spans="1:1">
      <c r="A688" s="16"/>
    </row>
    <row r="689" spans="1:1">
      <c r="A689" s="16"/>
    </row>
    <row r="690" spans="1:1">
      <c r="A690" s="16"/>
    </row>
    <row r="691" spans="1:1">
      <c r="A691" s="16"/>
    </row>
    <row r="692" spans="1:1">
      <c r="A692" s="16"/>
    </row>
    <row r="693" spans="1:1">
      <c r="A693" s="16"/>
    </row>
    <row r="694" spans="1:1">
      <c r="A694" s="16"/>
    </row>
    <row r="695" spans="1:1">
      <c r="A695" s="16"/>
    </row>
    <row r="696" spans="1:1">
      <c r="A696" s="16"/>
    </row>
    <row r="697" spans="1:1">
      <c r="A697" s="16"/>
    </row>
    <row r="698" spans="1:1">
      <c r="A698" s="16"/>
    </row>
    <row r="699" spans="1:1">
      <c r="A699" s="16"/>
    </row>
    <row r="700" spans="1:1">
      <c r="A700" s="16"/>
    </row>
    <row r="701" spans="1:1">
      <c r="A701" s="16"/>
    </row>
    <row r="702" spans="1:1">
      <c r="A702" s="16"/>
    </row>
    <row r="703" spans="1:1">
      <c r="A703" s="16"/>
    </row>
    <row r="704" spans="1:1">
      <c r="A704" s="16"/>
    </row>
    <row r="705" spans="1:1">
      <c r="A705" s="16"/>
    </row>
    <row r="706" spans="1:1">
      <c r="A706" s="16"/>
    </row>
    <row r="707" spans="1:1">
      <c r="A707" s="16"/>
    </row>
    <row r="708" spans="1:1">
      <c r="A708" s="16"/>
    </row>
    <row r="709" spans="1:1">
      <c r="A709" s="16"/>
    </row>
    <row r="710" spans="1:1">
      <c r="A710" s="16"/>
    </row>
    <row r="711" spans="1:1">
      <c r="A711" s="16"/>
    </row>
    <row r="712" spans="1:1">
      <c r="A712" s="16"/>
    </row>
    <row r="713" spans="1:1">
      <c r="A713" s="16"/>
    </row>
    <row r="714" spans="1:1">
      <c r="A714" s="16"/>
    </row>
    <row r="715" spans="1:1">
      <c r="A715" s="16"/>
    </row>
    <row r="716" spans="1:1">
      <c r="A716" s="16"/>
    </row>
    <row r="717" spans="1:1">
      <c r="A717" s="16"/>
    </row>
    <row r="718" spans="1:1">
      <c r="A718" s="16"/>
    </row>
    <row r="719" spans="1:1">
      <c r="A719" s="16"/>
    </row>
    <row r="720" spans="1:1">
      <c r="A720" s="16"/>
    </row>
    <row r="721" spans="1:1">
      <c r="A721" s="16"/>
    </row>
    <row r="722" spans="1:1">
      <c r="A722" s="16"/>
    </row>
    <row r="723" spans="1:1">
      <c r="A723" s="16"/>
    </row>
    <row r="724" spans="1:1">
      <c r="A724" s="16"/>
    </row>
    <row r="725" spans="1:1">
      <c r="A725" s="16"/>
    </row>
    <row r="726" spans="1:1">
      <c r="A726" s="16"/>
    </row>
    <row r="727" spans="1:1">
      <c r="A727" s="16"/>
    </row>
    <row r="728" spans="1:1">
      <c r="A728" s="16"/>
    </row>
    <row r="729" spans="1:1">
      <c r="A729" s="16"/>
    </row>
    <row r="730" spans="1:1">
      <c r="A730" s="16"/>
    </row>
    <row r="731" spans="1:1">
      <c r="A731" s="16"/>
    </row>
    <row r="732" spans="1:1">
      <c r="A732" s="16"/>
    </row>
    <row r="733" spans="1:1">
      <c r="A733" s="16"/>
    </row>
    <row r="734" spans="1:1">
      <c r="A734" s="16"/>
    </row>
    <row r="735" spans="1:1">
      <c r="A735" s="16"/>
    </row>
    <row r="736" spans="1:1">
      <c r="A736" s="16"/>
    </row>
    <row r="737" spans="1:1">
      <c r="A737" s="16"/>
    </row>
    <row r="738" spans="1:1">
      <c r="A738" s="16"/>
    </row>
    <row r="739" spans="1:1">
      <c r="A739" s="16"/>
    </row>
    <row r="740" spans="1:1">
      <c r="A740" s="16"/>
    </row>
    <row r="741" spans="1:1">
      <c r="A741" s="16"/>
    </row>
  </sheetData>
  <mergeCells count="5">
    <mergeCell ref="E1:E2"/>
    <mergeCell ref="A1:A2"/>
    <mergeCell ref="B1:B2"/>
    <mergeCell ref="C1:C2"/>
    <mergeCell ref="D1:D2"/>
  </mergeCells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API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Xss</cp:lastModifiedBy>
  <dcterms:created xsi:type="dcterms:W3CDTF">2019-01-18T05:36:11Z</dcterms:created>
  <dcterms:modified xsi:type="dcterms:W3CDTF">2021-03-02T01:07:49Z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